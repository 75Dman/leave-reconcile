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nde\Desktop\"/>
    </mc:Choice>
  </mc:AlternateContent>
  <xr:revisionPtr revIDLastSave="0" documentId="13_ncr:1_{F2077AD2-0A7D-4B29-BCB3-78B2623B74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rtPage" sheetId="13" r:id="rId1"/>
    <sheet name="InsertDrmis" sheetId="12" r:id="rId2"/>
    <sheet name="InsertOracle" sheetId="10" r:id="rId3"/>
    <sheet name="Combined" sheetId="4" r:id="rId4"/>
    <sheet name="CatsEdits2" sheetId="15" r:id="rId5"/>
    <sheet name="Oracle" sheetId="9" state="hidden" r:id="rId6"/>
    <sheet name="Drmis" sheetId="3" state="hidden" r:id="rId7"/>
    <sheet name="Holidays" sheetId="6" state="hidden" r:id="rId8"/>
  </sheets>
  <definedNames>
    <definedName name="ExternalData_1" localSheetId="3" hidden="1">'Combined'!$A$1:$F$14</definedName>
    <definedName name="ExternalData_1" localSheetId="6" hidden="1">Drmis!$A$1:$F$22</definedName>
    <definedName name="ExternalData_1" localSheetId="5" hidden="1">Oracle!$A$1:$D$32</definedName>
    <definedName name="ExternalData_3" localSheetId="4" hidden="1">CatsEdits2!$AA$7:$AG$20</definedName>
    <definedName name="PersNo">Drmis!$C$2</definedName>
    <definedName name="YearList">Holidays!$H$2:$H$10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Kiciv5NwcpaWH0iSbAy6G+HXlewkpXLJwDgl5XUKu8="/>
    </ext>
  </extLst>
</workbook>
</file>

<file path=xl/calcChain.xml><?xml version="1.0" encoding="utf-8"?>
<calcChain xmlns="http://schemas.openxmlformats.org/spreadsheetml/2006/main">
  <c r="F14" i="15" l="1" a="1"/>
  <c r="F14" i="15" s="1"/>
  <c r="E8" i="15" a="1"/>
  <c r="E8" i="15" s="1"/>
  <c r="G16" i="15" a="1"/>
  <c r="G16" i="15" s="1"/>
  <c r="G17" i="15" a="1"/>
  <c r="G17" i="15" s="1"/>
  <c r="G18" i="15" a="1"/>
  <c r="G18" i="15" s="1"/>
  <c r="G19" i="15" a="1"/>
  <c r="G19" i="15" s="1"/>
  <c r="G20" i="15" a="1"/>
  <c r="G20" i="15" s="1"/>
  <c r="G21" i="15" a="1"/>
  <c r="G21" i="15" s="1"/>
  <c r="G22" i="15" a="1"/>
  <c r="G22" i="15" s="1"/>
  <c r="G23" i="15" a="1"/>
  <c r="G23" i="15" s="1"/>
  <c r="G24" i="15" a="1"/>
  <c r="G24" i="15" s="1"/>
  <c r="G25" i="15" a="1"/>
  <c r="G25" i="15" s="1"/>
  <c r="G26" i="15" a="1"/>
  <c r="G26" i="15" s="1"/>
  <c r="G27" i="15" a="1"/>
  <c r="G27" i="15" s="1"/>
  <c r="G28" i="15" a="1"/>
  <c r="G28" i="15" s="1"/>
  <c r="G29" i="15" a="1"/>
  <c r="G29" i="15" s="1"/>
  <c r="G30" i="15" a="1"/>
  <c r="G30" i="15" s="1"/>
  <c r="G31" i="15" a="1"/>
  <c r="G31" i="15" s="1"/>
  <c r="G32" i="15" a="1"/>
  <c r="G32" i="15" s="1"/>
  <c r="G33" i="15" a="1"/>
  <c r="G33" i="15" s="1"/>
  <c r="G34" i="15" a="1"/>
  <c r="G34" i="15" s="1"/>
  <c r="G35" i="15" a="1"/>
  <c r="G35" i="15" s="1"/>
  <c r="G36" i="15" a="1"/>
  <c r="G36" i="15" s="1"/>
  <c r="G37" i="15" a="1"/>
  <c r="G37" i="15" s="1"/>
  <c r="G38" i="15" a="1"/>
  <c r="G38" i="15" s="1"/>
  <c r="G39" i="15" a="1"/>
  <c r="G39" i="15" s="1"/>
  <c r="G40" i="15" a="1"/>
  <c r="G40" i="15" s="1"/>
  <c r="G41" i="15" a="1"/>
  <c r="G41" i="15" s="1"/>
  <c r="G42" i="15" a="1"/>
  <c r="G42" i="15" s="1"/>
  <c r="G43" i="15" a="1"/>
  <c r="G43" i="15" s="1"/>
  <c r="G44" i="15" a="1"/>
  <c r="G44" i="15" s="1"/>
  <c r="G45" i="15" a="1"/>
  <c r="G45" i="15" s="1"/>
  <c r="G46" i="15" a="1"/>
  <c r="G46" i="15" s="1"/>
  <c r="G47" i="15" a="1"/>
  <c r="G47" i="15" s="1"/>
  <c r="G48" i="15" a="1"/>
  <c r="G48" i="15" s="1"/>
  <c r="G49" i="15" a="1"/>
  <c r="G49" i="15" s="1"/>
  <c r="G50" i="15" a="1"/>
  <c r="G50" i="15" s="1"/>
  <c r="G51" i="15" a="1"/>
  <c r="G51" i="15" s="1"/>
  <c r="G52" i="15" a="1"/>
  <c r="G52" i="15" s="1"/>
  <c r="G53" i="15" a="1"/>
  <c r="G53" i="15" s="1"/>
  <c r="G54" i="15" a="1"/>
  <c r="G54" i="15" s="1"/>
  <c r="G55" i="15" a="1"/>
  <c r="G55" i="15" s="1"/>
  <c r="G56" i="15" a="1"/>
  <c r="G56" i="15" s="1"/>
  <c r="G57" i="15" a="1"/>
  <c r="G57" i="15" s="1"/>
  <c r="G58" i="15" a="1"/>
  <c r="G58" i="15" s="1"/>
  <c r="G59" i="15" a="1"/>
  <c r="G59" i="15" s="1"/>
  <c r="G60" i="15" a="1"/>
  <c r="G60" i="15" s="1"/>
  <c r="G61" i="15" a="1"/>
  <c r="G61" i="15" s="1"/>
  <c r="G62" i="15" a="1"/>
  <c r="G62" i="15" s="1"/>
  <c r="G63" i="15" a="1"/>
  <c r="G63" i="15" s="1"/>
  <c r="G64" i="15" a="1"/>
  <c r="G64" i="15" s="1"/>
  <c r="G65" i="15" a="1"/>
  <c r="G65" i="15" s="1"/>
  <c r="G66" i="15" a="1"/>
  <c r="G66" i="15" s="1"/>
  <c r="G67" i="15" a="1"/>
  <c r="G67" i="15" s="1"/>
  <c r="G68" i="15" a="1"/>
  <c r="G68" i="15" s="1"/>
  <c r="G69" i="15" a="1"/>
  <c r="G69" i="15" s="1"/>
  <c r="G70" i="15" a="1"/>
  <c r="G70" i="15" s="1"/>
  <c r="G71" i="15" a="1"/>
  <c r="G71" i="15" s="1"/>
  <c r="G72" i="15" a="1"/>
  <c r="G72" i="15" s="1"/>
  <c r="G73" i="15" a="1"/>
  <c r="G73" i="15" s="1"/>
  <c r="G74" i="15" a="1"/>
  <c r="G74" i="15" s="1"/>
  <c r="G75" i="15" a="1"/>
  <c r="G75" i="15" s="1"/>
  <c r="G76" i="15" a="1"/>
  <c r="G76" i="15" s="1"/>
  <c r="G77" i="15" a="1"/>
  <c r="G77" i="15" s="1"/>
  <c r="G78" i="15" a="1"/>
  <c r="G78" i="15" s="1"/>
  <c r="G79" i="15" a="1"/>
  <c r="G79" i="15" s="1"/>
  <c r="G80" i="15" a="1"/>
  <c r="G80" i="15" s="1"/>
  <c r="G81" i="15" a="1"/>
  <c r="G81" i="15" s="1"/>
  <c r="G82" i="15" a="1"/>
  <c r="G82" i="15" s="1"/>
  <c r="G83" i="15" a="1"/>
  <c r="G83" i="15" s="1"/>
  <c r="G84" i="15" a="1"/>
  <c r="G84" i="15" s="1"/>
  <c r="G85" i="15" a="1"/>
  <c r="G85" i="15" s="1"/>
  <c r="G86" i="15" a="1"/>
  <c r="G86" i="15" s="1"/>
  <c r="G87" i="15" a="1"/>
  <c r="G87" i="15" s="1"/>
  <c r="G88" i="15" a="1"/>
  <c r="G88" i="15" s="1"/>
  <c r="G89" i="15" a="1"/>
  <c r="G89" i="15" s="1"/>
  <c r="G90" i="15" a="1"/>
  <c r="G90" i="15" s="1"/>
  <c r="G91" i="15" a="1"/>
  <c r="G91" i="15" s="1"/>
  <c r="G92" i="15" a="1"/>
  <c r="G92" i="15" s="1"/>
  <c r="G93" i="15" a="1"/>
  <c r="G93" i="15" s="1"/>
  <c r="G94" i="15" a="1"/>
  <c r="G94" i="15" s="1"/>
  <c r="G95" i="15" a="1"/>
  <c r="G95" i="15" s="1"/>
  <c r="G96" i="15" a="1"/>
  <c r="G96" i="15" s="1"/>
  <c r="G97" i="15" a="1"/>
  <c r="G97" i="15" s="1"/>
  <c r="G98" i="15" a="1"/>
  <c r="G98" i="15" s="1"/>
  <c r="G99" i="15" a="1"/>
  <c r="G99" i="15" s="1"/>
  <c r="G100" i="15" a="1"/>
  <c r="G100" i="15" s="1"/>
  <c r="G101" i="15" a="1"/>
  <c r="G101" i="15" s="1"/>
  <c r="G102" i="15" a="1"/>
  <c r="G102" i="15" s="1"/>
  <c r="G103" i="15" a="1"/>
  <c r="G103" i="15" s="1"/>
  <c r="G104" i="15" a="1"/>
  <c r="G104" i="15" s="1"/>
  <c r="G105" i="15" a="1"/>
  <c r="G105" i="15" s="1"/>
  <c r="G106" i="15" a="1"/>
  <c r="G106" i="15" s="1"/>
  <c r="G107" i="15" a="1"/>
  <c r="G107" i="15" s="1"/>
  <c r="G108" i="15" a="1"/>
  <c r="G108" i="15" s="1"/>
  <c r="G109" i="15" a="1"/>
  <c r="G109" i="15" s="1"/>
  <c r="G110" i="15" a="1"/>
  <c r="G110" i="15" s="1"/>
  <c r="G111" i="15" a="1"/>
  <c r="G111" i="15" s="1"/>
  <c r="G112" i="15" a="1"/>
  <c r="G112" i="15" s="1"/>
  <c r="G113" i="15" a="1"/>
  <c r="G113" i="15" s="1"/>
  <c r="G114" i="15" a="1"/>
  <c r="G114" i="15" s="1"/>
  <c r="G115" i="15" a="1"/>
  <c r="G115" i="15" s="1"/>
  <c r="G116" i="15" a="1"/>
  <c r="G116" i="15" s="1"/>
  <c r="G117" i="15" a="1"/>
  <c r="G117" i="15" s="1"/>
  <c r="G118" i="15" a="1"/>
  <c r="G118" i="15" s="1"/>
  <c r="G119" i="15" a="1"/>
  <c r="G119" i="15" s="1"/>
  <c r="G120" i="15" a="1"/>
  <c r="G120" i="15" s="1"/>
  <c r="G121" i="15" a="1"/>
  <c r="G121" i="15" s="1"/>
  <c r="G122" i="15" a="1"/>
  <c r="G122" i="15" s="1"/>
  <c r="G123" i="15" a="1"/>
  <c r="G123" i="15" s="1"/>
  <c r="G124" i="15" a="1"/>
  <c r="G124" i="15" s="1"/>
  <c r="G125" i="15" a="1"/>
  <c r="G125" i="15" s="1"/>
  <c r="G126" i="15" a="1"/>
  <c r="G126" i="15" s="1"/>
  <c r="G127" i="15" a="1"/>
  <c r="G127" i="15" s="1"/>
  <c r="G128" i="15" a="1"/>
  <c r="G128" i="15" s="1"/>
  <c r="G129" i="15" a="1"/>
  <c r="G129" i="15" s="1"/>
  <c r="G130" i="15" a="1"/>
  <c r="G130" i="15" s="1"/>
  <c r="G131" i="15" a="1"/>
  <c r="G131" i="15" s="1"/>
  <c r="G132" i="15" a="1"/>
  <c r="G132" i="15" s="1"/>
  <c r="G133" i="15" a="1"/>
  <c r="G133" i="15" s="1"/>
  <c r="G134" i="15" a="1"/>
  <c r="G134" i="15" s="1"/>
  <c r="G135" i="15" a="1"/>
  <c r="G135" i="15" s="1"/>
  <c r="G136" i="15" a="1"/>
  <c r="G136" i="15" s="1"/>
  <c r="G137" i="15" a="1"/>
  <c r="G137" i="15" s="1"/>
  <c r="G138" i="15" a="1"/>
  <c r="G138" i="15" s="1"/>
  <c r="G139" i="15" a="1"/>
  <c r="G139" i="15" s="1"/>
  <c r="G140" i="15" a="1"/>
  <c r="G140" i="15" s="1"/>
  <c r="G141" i="15" a="1"/>
  <c r="G141" i="15" s="1"/>
  <c r="G142" i="15" a="1"/>
  <c r="G142" i="15" s="1"/>
  <c r="G143" i="15" a="1"/>
  <c r="G143" i="15" s="1"/>
  <c r="G144" i="15" a="1"/>
  <c r="G144" i="15" s="1"/>
  <c r="G145" i="15" a="1"/>
  <c r="G145" i="15" s="1"/>
  <c r="G146" i="15" a="1"/>
  <c r="G146" i="15" s="1"/>
  <c r="G147" i="15" a="1"/>
  <c r="G147" i="15" s="1"/>
  <c r="G148" i="15" a="1"/>
  <c r="G148" i="15" s="1"/>
  <c r="G149" i="15" a="1"/>
  <c r="G149" i="15" s="1"/>
  <c r="G150" i="15" a="1"/>
  <c r="G150" i="15" s="1"/>
  <c r="G151" i="15" a="1"/>
  <c r="G151" i="15" s="1"/>
  <c r="G152" i="15" a="1"/>
  <c r="G152" i="15" s="1"/>
  <c r="G153" i="15" a="1"/>
  <c r="G153" i="15" s="1"/>
  <c r="G154" i="15" a="1"/>
  <c r="G154" i="15" s="1"/>
  <c r="G155" i="15" a="1"/>
  <c r="G155" i="15" s="1"/>
  <c r="G156" i="15" a="1"/>
  <c r="G156" i="15" s="1"/>
  <c r="G157" i="15" a="1"/>
  <c r="G157" i="15" s="1"/>
  <c r="G158" i="15" a="1"/>
  <c r="G158" i="15" s="1"/>
  <c r="G159" i="15" a="1"/>
  <c r="G159" i="15" s="1"/>
  <c r="G160" i="15" a="1"/>
  <c r="G160" i="15" s="1"/>
  <c r="G161" i="15" a="1"/>
  <c r="G161" i="15" s="1"/>
  <c r="G162" i="15" a="1"/>
  <c r="G162" i="15" s="1"/>
  <c r="G163" i="15" a="1"/>
  <c r="G163" i="15" s="1"/>
  <c r="G164" i="15" a="1"/>
  <c r="G164" i="15" s="1"/>
  <c r="G165" i="15" a="1"/>
  <c r="G165" i="15" s="1"/>
  <c r="G166" i="15" a="1"/>
  <c r="G166" i="15" s="1"/>
  <c r="G167" i="15" a="1"/>
  <c r="G167" i="15" s="1"/>
  <c r="G168" i="15" a="1"/>
  <c r="G168" i="15" s="1"/>
  <c r="G169" i="15" a="1"/>
  <c r="G169" i="15" s="1"/>
  <c r="G170" i="15" a="1"/>
  <c r="G170" i="15" s="1"/>
  <c r="G171" i="15" a="1"/>
  <c r="G171" i="15" s="1"/>
  <c r="G172" i="15" a="1"/>
  <c r="G172" i="15" s="1"/>
  <c r="G173" i="15" a="1"/>
  <c r="G173" i="15" s="1"/>
  <c r="G174" i="15" a="1"/>
  <c r="G174" i="15" s="1"/>
  <c r="G175" i="15" a="1"/>
  <c r="G175" i="15" s="1"/>
  <c r="G176" i="15" a="1"/>
  <c r="G176" i="15" s="1"/>
  <c r="G177" i="15" a="1"/>
  <c r="G177" i="15" s="1"/>
  <c r="G178" i="15" a="1"/>
  <c r="G178" i="15" s="1"/>
  <c r="G179" i="15" a="1"/>
  <c r="G179" i="15" s="1"/>
  <c r="G180" i="15" a="1"/>
  <c r="G180" i="15" s="1"/>
  <c r="G181" i="15" a="1"/>
  <c r="G181" i="15" s="1"/>
  <c r="G182" i="15" a="1"/>
  <c r="G182" i="15" s="1"/>
  <c r="G183" i="15" a="1"/>
  <c r="G183" i="15" s="1"/>
  <c r="G184" i="15" a="1"/>
  <c r="G184" i="15" s="1"/>
  <c r="G185" i="15" a="1"/>
  <c r="G185" i="15" s="1"/>
  <c r="G186" i="15" a="1"/>
  <c r="G186" i="15" s="1"/>
  <c r="G187" i="15" a="1"/>
  <c r="G187" i="15" s="1"/>
  <c r="G188" i="15" a="1"/>
  <c r="G188" i="15" s="1"/>
  <c r="G189" i="15" a="1"/>
  <c r="G189" i="15" s="1"/>
  <c r="G190" i="15" a="1"/>
  <c r="G190" i="15" s="1"/>
  <c r="G191" i="15" a="1"/>
  <c r="G191" i="15" s="1"/>
  <c r="G192" i="15" a="1"/>
  <c r="G192" i="15" s="1"/>
  <c r="G193" i="15" a="1"/>
  <c r="G193" i="15" s="1"/>
  <c r="G194" i="15" a="1"/>
  <c r="G194" i="15" s="1"/>
  <c r="G195" i="15" a="1"/>
  <c r="G195" i="15" s="1"/>
  <c r="G196" i="15" a="1"/>
  <c r="G196" i="15" s="1"/>
  <c r="G197" i="15" a="1"/>
  <c r="G197" i="15" s="1"/>
  <c r="G198" i="15" a="1"/>
  <c r="G198" i="15" s="1"/>
  <c r="G199" i="15" a="1"/>
  <c r="G199" i="15" s="1"/>
  <c r="G200" i="15" a="1"/>
  <c r="G200" i="15" s="1"/>
  <c r="G9" i="15" a="1"/>
  <c r="G9" i="15" s="1"/>
  <c r="G10" i="15" a="1"/>
  <c r="G10" i="15" s="1"/>
  <c r="G11" i="15" a="1"/>
  <c r="G11" i="15" s="1"/>
  <c r="G12" i="15" a="1"/>
  <c r="G12" i="15" s="1"/>
  <c r="G13" i="15" a="1"/>
  <c r="G13" i="15" s="1"/>
  <c r="G14" i="15" a="1"/>
  <c r="G14" i="15" s="1"/>
  <c r="G15" i="15" a="1"/>
  <c r="G15" i="15" s="1"/>
  <c r="G8" i="15" a="1"/>
  <c r="G8" i="15" s="1"/>
  <c r="F12" i="15" a="1"/>
  <c r="F12" i="15" s="1"/>
  <c r="F16" i="15" a="1"/>
  <c r="F16" i="15" s="1"/>
  <c r="F17" i="15" a="1"/>
  <c r="F17" i="15" s="1"/>
  <c r="F20" i="15" a="1"/>
  <c r="F20" i="15" s="1"/>
  <c r="F21" i="15" a="1"/>
  <c r="F21" i="15" s="1"/>
  <c r="F24" i="15" a="1"/>
  <c r="F24" i="15" s="1"/>
  <c r="F25" i="15" a="1"/>
  <c r="F25" i="15" s="1"/>
  <c r="F28" i="15" a="1"/>
  <c r="F28" i="15" s="1"/>
  <c r="F29" i="15" a="1"/>
  <c r="F29" i="15" s="1"/>
  <c r="F32" i="15" a="1"/>
  <c r="F32" i="15" s="1"/>
  <c r="F33" i="15" a="1"/>
  <c r="F33" i="15" s="1"/>
  <c r="F36" i="15" a="1"/>
  <c r="F36" i="15" s="1"/>
  <c r="F37" i="15" a="1"/>
  <c r="F37" i="15" s="1"/>
  <c r="F40" i="15" a="1"/>
  <c r="F40" i="15" s="1"/>
  <c r="F41" i="15" a="1"/>
  <c r="F41" i="15" s="1"/>
  <c r="F44" i="15" a="1"/>
  <c r="F44" i="15" s="1"/>
  <c r="F45" i="15" a="1"/>
  <c r="F45" i="15" s="1"/>
  <c r="F48" i="15" a="1"/>
  <c r="F48" i="15" s="1"/>
  <c r="F49" i="15" a="1"/>
  <c r="F49" i="15" s="1"/>
  <c r="F52" i="15" a="1"/>
  <c r="F52" i="15" s="1"/>
  <c r="F56" i="15" a="1"/>
  <c r="F56" i="15" s="1"/>
  <c r="F57" i="15" a="1"/>
  <c r="F57" i="15" s="1"/>
  <c r="F60" i="15" a="1"/>
  <c r="F60" i="15" s="1"/>
  <c r="F61" i="15" a="1"/>
  <c r="F61" i="15" s="1"/>
  <c r="F64" i="15" a="1"/>
  <c r="F64" i="15" s="1"/>
  <c r="F65" i="15" a="1"/>
  <c r="F65" i="15" s="1"/>
  <c r="F66" i="15" a="1"/>
  <c r="F66" i="15" s="1"/>
  <c r="F68" i="15" a="1"/>
  <c r="F68" i="15" s="1"/>
  <c r="F69" i="15" a="1"/>
  <c r="F69" i="15" s="1"/>
  <c r="F70" i="15" a="1"/>
  <c r="F70" i="15" s="1"/>
  <c r="F72" i="15" a="1"/>
  <c r="F72" i="15" s="1"/>
  <c r="F73" i="15" a="1"/>
  <c r="F73" i="15" s="1"/>
  <c r="F74" i="15" a="1"/>
  <c r="F74" i="15" s="1"/>
  <c r="F75" i="15" a="1"/>
  <c r="F75" i="15" s="1"/>
  <c r="F76" i="15" a="1"/>
  <c r="F76" i="15" s="1"/>
  <c r="F77" i="15" a="1"/>
  <c r="F77" i="15" s="1"/>
  <c r="F78" i="15" a="1"/>
  <c r="F78" i="15" s="1"/>
  <c r="F79" i="15" a="1"/>
  <c r="F79" i="15" s="1"/>
  <c r="F80" i="15" a="1"/>
  <c r="F80" i="15" s="1"/>
  <c r="F81" i="15" a="1"/>
  <c r="F81" i="15" s="1"/>
  <c r="F82" i="15" a="1"/>
  <c r="F82" i="15" s="1"/>
  <c r="F83" i="15" a="1"/>
  <c r="F83" i="15" s="1"/>
  <c r="F84" i="15" a="1"/>
  <c r="F84" i="15" s="1"/>
  <c r="F85" i="15" a="1"/>
  <c r="F85" i="15" s="1"/>
  <c r="F86" i="15" a="1"/>
  <c r="F86" i="15" s="1"/>
  <c r="F87" i="15" a="1"/>
  <c r="F87" i="15" s="1"/>
  <c r="F88" i="15" a="1"/>
  <c r="F88" i="15" s="1"/>
  <c r="F89" i="15" a="1"/>
  <c r="F89" i="15" s="1"/>
  <c r="F90" i="15" a="1"/>
  <c r="F90" i="15" s="1"/>
  <c r="F91" i="15" a="1"/>
  <c r="F91" i="15" s="1"/>
  <c r="F92" i="15" a="1"/>
  <c r="F92" i="15" s="1"/>
  <c r="F93" i="15" a="1"/>
  <c r="F93" i="15" s="1"/>
  <c r="F94" i="15" a="1"/>
  <c r="F94" i="15" s="1"/>
  <c r="F95" i="15" a="1"/>
  <c r="F95" i="15" s="1"/>
  <c r="F96" i="15" a="1"/>
  <c r="F96" i="15" s="1"/>
  <c r="F97" i="15" a="1"/>
  <c r="F97" i="15" s="1"/>
  <c r="F98" i="15" a="1"/>
  <c r="F98" i="15" s="1"/>
  <c r="F99" i="15" a="1"/>
  <c r="F99" i="15" s="1"/>
  <c r="F100" i="15" a="1"/>
  <c r="F100" i="15" s="1"/>
  <c r="F101" i="15" a="1"/>
  <c r="F101" i="15" s="1"/>
  <c r="F102" i="15" a="1"/>
  <c r="F102" i="15" s="1"/>
  <c r="F103" i="15" a="1"/>
  <c r="F103" i="15" s="1"/>
  <c r="F104" i="15" a="1"/>
  <c r="F104" i="15" s="1"/>
  <c r="F105" i="15" a="1"/>
  <c r="F105" i="15" s="1"/>
  <c r="F106" i="15" a="1"/>
  <c r="F106" i="15" s="1"/>
  <c r="F107" i="15" a="1"/>
  <c r="F107" i="15" s="1"/>
  <c r="F108" i="15" a="1"/>
  <c r="F108" i="15" s="1"/>
  <c r="F109" i="15" a="1"/>
  <c r="F109" i="15" s="1"/>
  <c r="F110" i="15" a="1"/>
  <c r="F110" i="15" s="1"/>
  <c r="F111" i="15" a="1"/>
  <c r="F111" i="15" s="1"/>
  <c r="F112" i="15" a="1"/>
  <c r="F112" i="15" s="1"/>
  <c r="F113" i="15" a="1"/>
  <c r="F113" i="15" s="1"/>
  <c r="F114" i="15" a="1"/>
  <c r="F114" i="15" s="1"/>
  <c r="F115" i="15" a="1"/>
  <c r="F115" i="15" s="1"/>
  <c r="F116" i="15" a="1"/>
  <c r="F116" i="15" s="1"/>
  <c r="F117" i="15" a="1"/>
  <c r="F117" i="15" s="1"/>
  <c r="F118" i="15" a="1"/>
  <c r="F118" i="15" s="1"/>
  <c r="F119" i="15" a="1"/>
  <c r="F119" i="15" s="1"/>
  <c r="F120" i="15" a="1"/>
  <c r="F120" i="15" s="1"/>
  <c r="F121" i="15" a="1"/>
  <c r="F121" i="15" s="1"/>
  <c r="F122" i="15" a="1"/>
  <c r="F122" i="15" s="1"/>
  <c r="F123" i="15" a="1"/>
  <c r="F123" i="15" s="1"/>
  <c r="F124" i="15" a="1"/>
  <c r="F124" i="15" s="1"/>
  <c r="F125" i="15" a="1"/>
  <c r="F125" i="15" s="1"/>
  <c r="F126" i="15" a="1"/>
  <c r="F126" i="15" s="1"/>
  <c r="F127" i="15" a="1"/>
  <c r="F127" i="15" s="1"/>
  <c r="F128" i="15" a="1"/>
  <c r="F128" i="15" s="1"/>
  <c r="F129" i="15" a="1"/>
  <c r="F129" i="15" s="1"/>
  <c r="F130" i="15" a="1"/>
  <c r="F130" i="15" s="1"/>
  <c r="F131" i="15" a="1"/>
  <c r="F131" i="15" s="1"/>
  <c r="F132" i="15" a="1"/>
  <c r="F132" i="15" s="1"/>
  <c r="F133" i="15" a="1"/>
  <c r="F133" i="15" s="1"/>
  <c r="F134" i="15" a="1"/>
  <c r="F134" i="15" s="1"/>
  <c r="F135" i="15" a="1"/>
  <c r="F135" i="15" s="1"/>
  <c r="F136" i="15" a="1"/>
  <c r="F136" i="15" s="1"/>
  <c r="F137" i="15" a="1"/>
  <c r="F137" i="15" s="1"/>
  <c r="F138" i="15" a="1"/>
  <c r="F138" i="15" s="1"/>
  <c r="F139" i="15" a="1"/>
  <c r="F139" i="15" s="1"/>
  <c r="F140" i="15" a="1"/>
  <c r="F140" i="15" s="1"/>
  <c r="F141" i="15" a="1"/>
  <c r="F141" i="15" s="1"/>
  <c r="F142" i="15" a="1"/>
  <c r="F142" i="15" s="1"/>
  <c r="F143" i="15" a="1"/>
  <c r="F143" i="15" s="1"/>
  <c r="F144" i="15" a="1"/>
  <c r="F144" i="15" s="1"/>
  <c r="F145" i="15" a="1"/>
  <c r="F145" i="15" s="1"/>
  <c r="F146" i="15" a="1"/>
  <c r="F146" i="15" s="1"/>
  <c r="F147" i="15" a="1"/>
  <c r="F147" i="15" s="1"/>
  <c r="F148" i="15" a="1"/>
  <c r="F148" i="15" s="1"/>
  <c r="F149" i="15" a="1"/>
  <c r="F149" i="15" s="1"/>
  <c r="F150" i="15" a="1"/>
  <c r="F150" i="15" s="1"/>
  <c r="F151" i="15" a="1"/>
  <c r="F151" i="15" s="1"/>
  <c r="F152" i="15" a="1"/>
  <c r="F152" i="15" s="1"/>
  <c r="F153" i="15" a="1"/>
  <c r="F153" i="15" s="1"/>
  <c r="F154" i="15" a="1"/>
  <c r="F154" i="15" s="1"/>
  <c r="F155" i="15" a="1"/>
  <c r="F155" i="15" s="1"/>
  <c r="F156" i="15" a="1"/>
  <c r="F156" i="15" s="1"/>
  <c r="F157" i="15" a="1"/>
  <c r="F157" i="15" s="1"/>
  <c r="F158" i="15" a="1"/>
  <c r="F158" i="15" s="1"/>
  <c r="F159" i="15" a="1"/>
  <c r="F159" i="15" s="1"/>
  <c r="F160" i="15" a="1"/>
  <c r="F160" i="15" s="1"/>
  <c r="F161" i="15" a="1"/>
  <c r="F161" i="15" s="1"/>
  <c r="F162" i="15" a="1"/>
  <c r="F162" i="15" s="1"/>
  <c r="F163" i="15" a="1"/>
  <c r="F163" i="15" s="1"/>
  <c r="F164" i="15" a="1"/>
  <c r="F164" i="15" s="1"/>
  <c r="F165" i="15" a="1"/>
  <c r="F165" i="15" s="1"/>
  <c r="F166" i="15" a="1"/>
  <c r="F166" i="15" s="1"/>
  <c r="F167" i="15" a="1"/>
  <c r="F167" i="15" s="1"/>
  <c r="F168" i="15" a="1"/>
  <c r="F168" i="15" s="1"/>
  <c r="F169" i="15" a="1"/>
  <c r="F169" i="15" s="1"/>
  <c r="F170" i="15" a="1"/>
  <c r="F170" i="15" s="1"/>
  <c r="F171" i="15" a="1"/>
  <c r="F171" i="15" s="1"/>
  <c r="F172" i="15" a="1"/>
  <c r="F172" i="15" s="1"/>
  <c r="F173" i="15" a="1"/>
  <c r="F173" i="15" s="1"/>
  <c r="F174" i="15" a="1"/>
  <c r="F174" i="15" s="1"/>
  <c r="F175" i="15" a="1"/>
  <c r="F175" i="15" s="1"/>
  <c r="F176" i="15" a="1"/>
  <c r="F176" i="15" s="1"/>
  <c r="F177" i="15" a="1"/>
  <c r="F177" i="15" s="1"/>
  <c r="F178" i="15" a="1"/>
  <c r="F178" i="15" s="1"/>
  <c r="F179" i="15" a="1"/>
  <c r="F179" i="15" s="1"/>
  <c r="F180" i="15" a="1"/>
  <c r="F180" i="15" s="1"/>
  <c r="F181" i="15" a="1"/>
  <c r="F181" i="15" s="1"/>
  <c r="F182" i="15" a="1"/>
  <c r="F182" i="15" s="1"/>
  <c r="F183" i="15" a="1"/>
  <c r="F183" i="15" s="1"/>
  <c r="F184" i="15" a="1"/>
  <c r="F184" i="15" s="1"/>
  <c r="F185" i="15" a="1"/>
  <c r="F185" i="15" s="1"/>
  <c r="F186" i="15" a="1"/>
  <c r="F186" i="15" s="1"/>
  <c r="F187" i="15" a="1"/>
  <c r="F187" i="15" s="1"/>
  <c r="F188" i="15" a="1"/>
  <c r="F188" i="15" s="1"/>
  <c r="F189" i="15" a="1"/>
  <c r="F189" i="15" s="1"/>
  <c r="F190" i="15" a="1"/>
  <c r="F190" i="15" s="1"/>
  <c r="F191" i="15" a="1"/>
  <c r="F191" i="15" s="1"/>
  <c r="F192" i="15" a="1"/>
  <c r="F192" i="15" s="1"/>
  <c r="F193" i="15" a="1"/>
  <c r="F193" i="15" s="1"/>
  <c r="F194" i="15" a="1"/>
  <c r="F194" i="15" s="1"/>
  <c r="F195" i="15" a="1"/>
  <c r="F195" i="15" s="1"/>
  <c r="F196" i="15" a="1"/>
  <c r="F196" i="15" s="1"/>
  <c r="F197" i="15" a="1"/>
  <c r="F197" i="15" s="1"/>
  <c r="F198" i="15" a="1"/>
  <c r="F198" i="15" s="1"/>
  <c r="F199" i="15" a="1"/>
  <c r="F199" i="15" s="1"/>
  <c r="F200" i="15" a="1"/>
  <c r="F200" i="15" s="1"/>
  <c r="F8" i="15" a="1"/>
  <c r="F8" i="15" s="1"/>
  <c r="E20" i="15" a="1"/>
  <c r="E20" i="15" s="1"/>
  <c r="E21" i="15" a="1"/>
  <c r="E21" i="15" s="1"/>
  <c r="E22" i="15" a="1"/>
  <c r="E22" i="15" s="1"/>
  <c r="E23" i="15" a="1"/>
  <c r="E23" i="15" s="1"/>
  <c r="E24" i="15" a="1"/>
  <c r="E24" i="15" s="1"/>
  <c r="E25" i="15" a="1"/>
  <c r="E25" i="15" s="1"/>
  <c r="E26" i="15" a="1"/>
  <c r="E26" i="15" s="1"/>
  <c r="E27" i="15" a="1"/>
  <c r="E27" i="15" s="1"/>
  <c r="E28" i="15" a="1"/>
  <c r="E28" i="15" s="1"/>
  <c r="E29" i="15" a="1"/>
  <c r="E29" i="15" s="1"/>
  <c r="E30" i="15" a="1"/>
  <c r="E30" i="15" s="1"/>
  <c r="E31" i="15" a="1"/>
  <c r="E31" i="15" s="1"/>
  <c r="E32" i="15" a="1"/>
  <c r="E32" i="15" s="1"/>
  <c r="E33" i="15" a="1"/>
  <c r="E33" i="15" s="1"/>
  <c r="E34" i="15" a="1"/>
  <c r="E34" i="15" s="1"/>
  <c r="E35" i="15" a="1"/>
  <c r="E35" i="15" s="1"/>
  <c r="E36" i="15" a="1"/>
  <c r="E36" i="15" s="1"/>
  <c r="E37" i="15" a="1"/>
  <c r="E37" i="15" s="1"/>
  <c r="E38" i="15" a="1"/>
  <c r="E38" i="15" s="1"/>
  <c r="E39" i="15" a="1"/>
  <c r="E39" i="15" s="1"/>
  <c r="E40" i="15" a="1"/>
  <c r="E40" i="15" s="1"/>
  <c r="E41" i="15" a="1"/>
  <c r="E41" i="15" s="1"/>
  <c r="E42" i="15" a="1"/>
  <c r="E42" i="15" s="1"/>
  <c r="E43" i="15" a="1"/>
  <c r="E43" i="15" s="1"/>
  <c r="E44" i="15" a="1"/>
  <c r="E44" i="15" s="1"/>
  <c r="E45" i="15" a="1"/>
  <c r="E45" i="15" s="1"/>
  <c r="E46" i="15" a="1"/>
  <c r="E46" i="15" s="1"/>
  <c r="E47" i="15" a="1"/>
  <c r="E47" i="15" s="1"/>
  <c r="E48" i="15" a="1"/>
  <c r="E48" i="15" s="1"/>
  <c r="E49" i="15" a="1"/>
  <c r="E49" i="15" s="1"/>
  <c r="E50" i="15" a="1"/>
  <c r="E50" i="15" s="1"/>
  <c r="E51" i="15" a="1"/>
  <c r="E51" i="15" s="1"/>
  <c r="E52" i="15" a="1"/>
  <c r="E52" i="15" s="1"/>
  <c r="E55" i="15" a="1"/>
  <c r="E55" i="15" s="1"/>
  <c r="E56" i="15" a="1"/>
  <c r="E56" i="15" s="1"/>
  <c r="E57" i="15" a="1"/>
  <c r="E57" i="15" s="1"/>
  <c r="E58" i="15" a="1"/>
  <c r="E58" i="15" s="1"/>
  <c r="E59" i="15" a="1"/>
  <c r="E59" i="15" s="1"/>
  <c r="E60" i="15" a="1"/>
  <c r="E60" i="15" s="1"/>
  <c r="E61" i="15" a="1"/>
  <c r="E61" i="15" s="1"/>
  <c r="E62" i="15" a="1"/>
  <c r="E62" i="15" s="1"/>
  <c r="E64" i="15" a="1"/>
  <c r="E64" i="15" s="1"/>
  <c r="E65" i="15" a="1"/>
  <c r="E65" i="15" s="1"/>
  <c r="E66" i="15" a="1"/>
  <c r="E66" i="15" s="1"/>
  <c r="E68" i="15" a="1"/>
  <c r="E68" i="15" s="1"/>
  <c r="E69" i="15" a="1"/>
  <c r="E69" i="15" s="1"/>
  <c r="E70" i="15" a="1"/>
  <c r="E70" i="15" s="1"/>
  <c r="E72" i="15" a="1"/>
  <c r="E72" i="15" s="1"/>
  <c r="E73" i="15" a="1"/>
  <c r="E73" i="15" s="1"/>
  <c r="E74" i="15" a="1"/>
  <c r="E74" i="15" s="1"/>
  <c r="E76" i="15" a="1"/>
  <c r="E76" i="15" s="1"/>
  <c r="E77" i="15" a="1"/>
  <c r="E77" i="15" s="1"/>
  <c r="E78" i="15" a="1"/>
  <c r="E78" i="15" s="1"/>
  <c r="E80" i="15" a="1"/>
  <c r="E80" i="15" s="1"/>
  <c r="E81" i="15" a="1"/>
  <c r="E81" i="15" s="1"/>
  <c r="E82" i="15" a="1"/>
  <c r="E82" i="15" s="1"/>
  <c r="E84" i="15" a="1"/>
  <c r="E84" i="15" s="1"/>
  <c r="E85" i="15" a="1"/>
  <c r="E85" i="15" s="1"/>
  <c r="E86" i="15" a="1"/>
  <c r="E86" i="15" s="1"/>
  <c r="E88" i="15" a="1"/>
  <c r="E88" i="15" s="1"/>
  <c r="E89" i="15" a="1"/>
  <c r="E89" i="15" s="1"/>
  <c r="E90" i="15" a="1"/>
  <c r="E90" i="15" s="1"/>
  <c r="E92" i="15" a="1"/>
  <c r="E92" i="15" s="1"/>
  <c r="E93" i="15" a="1"/>
  <c r="E93" i="15" s="1"/>
  <c r="E94" i="15" a="1"/>
  <c r="E94" i="15" s="1"/>
  <c r="E96" i="15" a="1"/>
  <c r="E96" i="15" s="1"/>
  <c r="E97" i="15" a="1"/>
  <c r="E97" i="15" s="1"/>
  <c r="E98" i="15" a="1"/>
  <c r="E98" i="15" s="1"/>
  <c r="E100" i="15" a="1"/>
  <c r="E100" i="15" s="1"/>
  <c r="E101" i="15" a="1"/>
  <c r="E101" i="15" s="1"/>
  <c r="E104" i="15" a="1"/>
  <c r="E104" i="15" s="1"/>
  <c r="E105" i="15" a="1"/>
  <c r="E105" i="15" s="1"/>
  <c r="E108" i="15" a="1"/>
  <c r="E108" i="15" s="1"/>
  <c r="E109" i="15" a="1"/>
  <c r="E109" i="15" s="1"/>
  <c r="E110" i="15" a="1"/>
  <c r="E110" i="15" s="1"/>
  <c r="E112" i="15" a="1"/>
  <c r="E112" i="15" s="1"/>
  <c r="E113" i="15" a="1"/>
  <c r="E113" i="15" s="1"/>
  <c r="E114" i="15" a="1"/>
  <c r="E114" i="15" s="1"/>
  <c r="E116" i="15" a="1"/>
  <c r="E116" i="15" s="1"/>
  <c r="E117" i="15" a="1"/>
  <c r="E117" i="15" s="1"/>
  <c r="E118" i="15" a="1"/>
  <c r="E118" i="15" s="1"/>
  <c r="E120" i="15" a="1"/>
  <c r="E120" i="15" s="1"/>
  <c r="E121" i="15" a="1"/>
  <c r="E121" i="15" s="1"/>
  <c r="E122" i="15" a="1"/>
  <c r="E122" i="15" s="1"/>
  <c r="E124" i="15" a="1"/>
  <c r="E124" i="15" s="1"/>
  <c r="E125" i="15" a="1"/>
  <c r="E125" i="15" s="1"/>
  <c r="E126" i="15" a="1"/>
  <c r="E126" i="15" s="1"/>
  <c r="E128" i="15" a="1"/>
  <c r="E128" i="15" s="1"/>
  <c r="E129" i="15" a="1"/>
  <c r="E129" i="15" s="1"/>
  <c r="E130" i="15" a="1"/>
  <c r="E130" i="15" s="1"/>
  <c r="E132" i="15" a="1"/>
  <c r="E132" i="15" s="1"/>
  <c r="E133" i="15" a="1"/>
  <c r="E133" i="15" s="1"/>
  <c r="E134" i="15" a="1"/>
  <c r="E134" i="15" s="1"/>
  <c r="E136" i="15" a="1"/>
  <c r="E136" i="15" s="1"/>
  <c r="E137" i="15" a="1"/>
  <c r="E137" i="15" s="1"/>
  <c r="E138" i="15" a="1"/>
  <c r="E138" i="15" s="1"/>
  <c r="E140" i="15" a="1"/>
  <c r="E140" i="15" s="1"/>
  <c r="E141" i="15" a="1"/>
  <c r="E141" i="15" s="1"/>
  <c r="E142" i="15" a="1"/>
  <c r="E142" i="15" s="1"/>
  <c r="E144" i="15" a="1"/>
  <c r="E144" i="15" s="1"/>
  <c r="E145" i="15" a="1"/>
  <c r="E145" i="15" s="1"/>
  <c r="E146" i="15" a="1"/>
  <c r="E146" i="15" s="1"/>
  <c r="E148" i="15" a="1"/>
  <c r="E148" i="15" s="1"/>
  <c r="E149" i="15" a="1"/>
  <c r="E149" i="15" s="1"/>
  <c r="E150" i="15" a="1"/>
  <c r="E150" i="15" s="1"/>
  <c r="E152" i="15" a="1"/>
  <c r="E152" i="15" s="1"/>
  <c r="E153" i="15" a="1"/>
  <c r="E153" i="15" s="1"/>
  <c r="E154" i="15" a="1"/>
  <c r="E154" i="15" s="1"/>
  <c r="E156" i="15" a="1"/>
  <c r="E156" i="15" s="1"/>
  <c r="E157" i="15" a="1"/>
  <c r="E157" i="15" s="1"/>
  <c r="E158" i="15" a="1"/>
  <c r="E158" i="15" s="1"/>
  <c r="E160" i="15" a="1"/>
  <c r="E160" i="15" s="1"/>
  <c r="E161" i="15" a="1"/>
  <c r="E161" i="15" s="1"/>
  <c r="E162" i="15" a="1"/>
  <c r="E162" i="15" s="1"/>
  <c r="E164" i="15" a="1"/>
  <c r="E164" i="15" s="1"/>
  <c r="E165" i="15" a="1"/>
  <c r="E165" i="15" s="1"/>
  <c r="E166" i="15" a="1"/>
  <c r="E166" i="15" s="1"/>
  <c r="E168" i="15" a="1"/>
  <c r="E168" i="15" s="1"/>
  <c r="E169" i="15" a="1"/>
  <c r="E169" i="15" s="1"/>
  <c r="E170" i="15" a="1"/>
  <c r="E170" i="15" s="1"/>
  <c r="E172" i="15" a="1"/>
  <c r="E172" i="15" s="1"/>
  <c r="E173" i="15" a="1"/>
  <c r="E173" i="15" s="1"/>
  <c r="E174" i="15" a="1"/>
  <c r="E174" i="15" s="1"/>
  <c r="E176" i="15" a="1"/>
  <c r="E176" i="15" s="1"/>
  <c r="E177" i="15" a="1"/>
  <c r="E177" i="15" s="1"/>
  <c r="E178" i="15" a="1"/>
  <c r="E178" i="15" s="1"/>
  <c r="E180" i="15" a="1"/>
  <c r="E180" i="15" s="1"/>
  <c r="E181" i="15" a="1"/>
  <c r="E181" i="15" s="1"/>
  <c r="E182" i="15" a="1"/>
  <c r="E182" i="15" s="1"/>
  <c r="E184" i="15" a="1"/>
  <c r="E184" i="15" s="1"/>
  <c r="E185" i="15" a="1"/>
  <c r="E185" i="15" s="1"/>
  <c r="E186" i="15" a="1"/>
  <c r="E186" i="15" s="1"/>
  <c r="E188" i="15" a="1"/>
  <c r="E188" i="15" s="1"/>
  <c r="E189" i="15" a="1"/>
  <c r="E189" i="15" s="1"/>
  <c r="E190" i="15" a="1"/>
  <c r="E190" i="15" s="1"/>
  <c r="E192" i="15" a="1"/>
  <c r="E192" i="15" s="1"/>
  <c r="E193" i="15" a="1"/>
  <c r="E193" i="15" s="1"/>
  <c r="E194" i="15" a="1"/>
  <c r="E194" i="15" s="1"/>
  <c r="E196" i="15" a="1"/>
  <c r="E196" i="15" s="1"/>
  <c r="E197" i="15" a="1"/>
  <c r="E197" i="15" s="1"/>
  <c r="E198" i="15" a="1"/>
  <c r="E198" i="15" s="1"/>
  <c r="E200" i="15" a="1"/>
  <c r="E200" i="15" s="1"/>
  <c r="E10" i="15" a="1"/>
  <c r="E10" i="15" s="1"/>
  <c r="E11" i="15" a="1"/>
  <c r="E11" i="15" s="1"/>
  <c r="E12" i="15" a="1"/>
  <c r="E12" i="15" s="1"/>
  <c r="E13" i="15" a="1"/>
  <c r="E13" i="15" s="1"/>
  <c r="E14" i="15" a="1"/>
  <c r="E14" i="15" s="1"/>
  <c r="E15" i="15" a="1"/>
  <c r="E15" i="15" s="1"/>
  <c r="E16" i="15" a="1"/>
  <c r="E16" i="15" s="1"/>
  <c r="E17" i="15" a="1"/>
  <c r="E17" i="15" s="1"/>
  <c r="E18" i="15" a="1"/>
  <c r="E18" i="15" s="1"/>
  <c r="E19" i="15" a="1"/>
  <c r="E19" i="15" s="1"/>
  <c r="A70" i="15" a="1"/>
  <c r="A70" i="15" s="1"/>
  <c r="A73" i="15" a="1"/>
  <c r="A73" i="15" s="1"/>
  <c r="A75" i="15" a="1"/>
  <c r="A75" i="15" s="1"/>
  <c r="A77" i="15" a="1"/>
  <c r="A77" i="15" s="1"/>
  <c r="A79" i="15" a="1"/>
  <c r="A79" i="15" s="1"/>
  <c r="A81" i="15" a="1"/>
  <c r="A81" i="15" s="1"/>
  <c r="A83" i="15" a="1"/>
  <c r="A83" i="15" s="1"/>
  <c r="A85" i="15" a="1"/>
  <c r="A85" i="15" s="1"/>
  <c r="A87" i="15" a="1"/>
  <c r="A87" i="15" s="1"/>
  <c r="A89" i="15" a="1"/>
  <c r="A89" i="15" s="1"/>
  <c r="A91" i="15" a="1"/>
  <c r="A91" i="15" s="1"/>
  <c r="A93" i="15" a="1"/>
  <c r="A93" i="15" s="1"/>
  <c r="A95" i="15" a="1"/>
  <c r="A95" i="15" s="1"/>
  <c r="A97" i="15" a="1"/>
  <c r="A97" i="15" s="1"/>
  <c r="A99" i="15" a="1"/>
  <c r="A99" i="15" s="1"/>
  <c r="A101" i="15" a="1"/>
  <c r="A101" i="15" s="1"/>
  <c r="A105" i="15" a="1"/>
  <c r="A105" i="15" s="1"/>
  <c r="A109" i="15" a="1"/>
  <c r="A109" i="15" s="1"/>
  <c r="A111" i="15" a="1"/>
  <c r="A111" i="15" s="1"/>
  <c r="A113" i="15" a="1"/>
  <c r="A113" i="15" s="1"/>
  <c r="A114" i="15" a="1"/>
  <c r="A114" i="15" s="1"/>
  <c r="A115" i="15" a="1"/>
  <c r="A115" i="15" s="1"/>
  <c r="A117" i="15" a="1"/>
  <c r="A117" i="15" s="1"/>
  <c r="A118" i="15" a="1"/>
  <c r="A118" i="15" s="1"/>
  <c r="A119" i="15" a="1"/>
  <c r="A119" i="15" s="1"/>
  <c r="A121" i="15" a="1"/>
  <c r="A121" i="15" s="1"/>
  <c r="A122" i="15" a="1"/>
  <c r="A122" i="15" s="1"/>
  <c r="A123" i="15" a="1"/>
  <c r="A123" i="15" s="1"/>
  <c r="A125" i="15" a="1"/>
  <c r="A125" i="15" s="1"/>
  <c r="A126" i="15" a="1"/>
  <c r="A126" i="15" s="1"/>
  <c r="A127" i="15" a="1"/>
  <c r="A127" i="15" s="1"/>
  <c r="A129" i="15" a="1"/>
  <c r="A129" i="15" s="1"/>
  <c r="A130" i="15" a="1"/>
  <c r="A130" i="15" s="1"/>
  <c r="A131" i="15" a="1"/>
  <c r="A131" i="15" s="1"/>
  <c r="A133" i="15" a="1"/>
  <c r="A133" i="15" s="1"/>
  <c r="A134" i="15" a="1"/>
  <c r="A134" i="15" s="1"/>
  <c r="A135" i="15" a="1"/>
  <c r="A135" i="15" s="1"/>
  <c r="A137" i="15" a="1"/>
  <c r="A137" i="15" s="1"/>
  <c r="A138" i="15" a="1"/>
  <c r="A138" i="15" s="1"/>
  <c r="A139" i="15" a="1"/>
  <c r="A139" i="15" s="1"/>
  <c r="A141" i="15" a="1"/>
  <c r="A141" i="15" s="1"/>
  <c r="A142" i="15" a="1"/>
  <c r="A142" i="15" s="1"/>
  <c r="A143" i="15" a="1"/>
  <c r="A143" i="15" s="1"/>
  <c r="A145" i="15" a="1"/>
  <c r="A145" i="15" s="1"/>
  <c r="A146" i="15" a="1"/>
  <c r="A146" i="15" s="1"/>
  <c r="A147" i="15" a="1"/>
  <c r="A147" i="15" s="1"/>
  <c r="A149" i="15" a="1"/>
  <c r="A149" i="15" s="1"/>
  <c r="A150" i="15" a="1"/>
  <c r="A150" i="15" s="1"/>
  <c r="A151" i="15" a="1"/>
  <c r="A151" i="15" s="1"/>
  <c r="A153" i="15" a="1"/>
  <c r="A153" i="15" s="1"/>
  <c r="A154" i="15" a="1"/>
  <c r="A154" i="15" s="1"/>
  <c r="A155" i="15" a="1"/>
  <c r="A155" i="15" s="1"/>
  <c r="A157" i="15" a="1"/>
  <c r="A157" i="15" s="1"/>
  <c r="A158" i="15" a="1"/>
  <c r="A158" i="15" s="1"/>
  <c r="A159" i="15" a="1"/>
  <c r="A159" i="15" s="1"/>
  <c r="A161" i="15" a="1"/>
  <c r="A161" i="15" s="1"/>
  <c r="A162" i="15" a="1"/>
  <c r="A162" i="15" s="1"/>
  <c r="A163" i="15" a="1"/>
  <c r="A163" i="15" s="1"/>
  <c r="A165" i="15" a="1"/>
  <c r="A165" i="15" s="1"/>
  <c r="A166" i="15" a="1"/>
  <c r="A166" i="15" s="1"/>
  <c r="A167" i="15" a="1"/>
  <c r="A167" i="15" s="1"/>
  <c r="A169" i="15" a="1"/>
  <c r="A169" i="15" s="1"/>
  <c r="A170" i="15" a="1"/>
  <c r="A170" i="15" s="1"/>
  <c r="A171" i="15" a="1"/>
  <c r="A171" i="15" s="1"/>
  <c r="A173" i="15" a="1"/>
  <c r="A173" i="15" s="1"/>
  <c r="A174" i="15" a="1"/>
  <c r="A174" i="15" s="1"/>
  <c r="A175" i="15" a="1"/>
  <c r="A175" i="15" s="1"/>
  <c r="A177" i="15" a="1"/>
  <c r="A177" i="15" s="1"/>
  <c r="A178" i="15" a="1"/>
  <c r="A178" i="15" s="1"/>
  <c r="A179" i="15" a="1"/>
  <c r="A179" i="15" s="1"/>
  <c r="A181" i="15" a="1"/>
  <c r="A181" i="15" s="1"/>
  <c r="A182" i="15" a="1"/>
  <c r="A182" i="15" s="1"/>
  <c r="A183" i="15" a="1"/>
  <c r="A183" i="15" s="1"/>
  <c r="A185" i="15" a="1"/>
  <c r="A185" i="15" s="1"/>
  <c r="A186" i="15" a="1"/>
  <c r="A186" i="15" s="1"/>
  <c r="A187" i="15" a="1"/>
  <c r="A187" i="15" s="1"/>
  <c r="A189" i="15" a="1"/>
  <c r="A189" i="15" s="1"/>
  <c r="A190" i="15" a="1"/>
  <c r="A190" i="15" s="1"/>
  <c r="A191" i="15" a="1"/>
  <c r="A191" i="15" s="1"/>
  <c r="A193" i="15" a="1"/>
  <c r="A193" i="15" s="1"/>
  <c r="A194" i="15" a="1"/>
  <c r="A194" i="15" s="1"/>
  <c r="A195" i="15" a="1"/>
  <c r="A195" i="15" s="1"/>
  <c r="A197" i="15" a="1"/>
  <c r="A197" i="15" s="1"/>
  <c r="A198" i="15" a="1"/>
  <c r="A198" i="15" s="1"/>
  <c r="A199" i="15" a="1"/>
  <c r="A199" i="15" s="1"/>
  <c r="A200" i="15" a="1"/>
  <c r="A200" i="15" s="1"/>
  <c r="B9" i="15" a="1"/>
  <c r="B9" i="15" s="1"/>
  <c r="B10" i="15" a="1"/>
  <c r="B10" i="15" s="1"/>
  <c r="B11" i="15" a="1"/>
  <c r="B11" i="15" s="1"/>
  <c r="B12" i="15" a="1"/>
  <c r="B12" i="15" s="1"/>
  <c r="B13" i="15" a="1"/>
  <c r="B13" i="15" s="1"/>
  <c r="B14" i="15" a="1"/>
  <c r="B14" i="15" s="1"/>
  <c r="B15" i="15" a="1"/>
  <c r="B15" i="15" s="1"/>
  <c r="B16" i="15" a="1"/>
  <c r="B16" i="15" s="1"/>
  <c r="B17" i="15" a="1"/>
  <c r="B17" i="15" s="1"/>
  <c r="B18" i="15" a="1"/>
  <c r="B18" i="15" s="1"/>
  <c r="B19" i="15" a="1"/>
  <c r="B19" i="15" s="1"/>
  <c r="B20" i="15" a="1"/>
  <c r="B20" i="15" s="1"/>
  <c r="B21" i="15" a="1"/>
  <c r="B21" i="15" s="1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  <c r="B27" i="15" a="1"/>
  <c r="B27" i="15" s="1"/>
  <c r="B28" i="15" a="1"/>
  <c r="B28" i="15" s="1"/>
  <c r="B29" i="15" a="1"/>
  <c r="B29" i="15" s="1"/>
  <c r="B30" i="15" a="1"/>
  <c r="B30" i="15" s="1"/>
  <c r="B31" i="15" a="1"/>
  <c r="B31" i="15" s="1"/>
  <c r="B32" i="15" a="1"/>
  <c r="B32" i="15" s="1"/>
  <c r="B33" i="15" a="1"/>
  <c r="B33" i="15" s="1"/>
  <c r="B34" i="15" a="1"/>
  <c r="B34" i="15" s="1"/>
  <c r="B35" i="15" a="1"/>
  <c r="B35" i="15" s="1"/>
  <c r="B36" i="15" a="1"/>
  <c r="B36" i="15" s="1"/>
  <c r="B37" i="15" a="1"/>
  <c r="B37" i="15" s="1"/>
  <c r="B38" i="15" a="1"/>
  <c r="B38" i="15" s="1"/>
  <c r="B39" i="15" a="1"/>
  <c r="B39" i="15" s="1"/>
  <c r="B40" i="15" a="1"/>
  <c r="B40" i="15" s="1"/>
  <c r="B41" i="15" a="1"/>
  <c r="B41" i="15" s="1"/>
  <c r="B42" i="15" a="1"/>
  <c r="B42" i="15" s="1"/>
  <c r="B43" i="15" a="1"/>
  <c r="B43" i="15" s="1"/>
  <c r="B44" i="15" a="1"/>
  <c r="B44" i="15" s="1"/>
  <c r="B45" i="15" a="1"/>
  <c r="B45" i="15" s="1"/>
  <c r="B46" i="15" a="1"/>
  <c r="B46" i="15" s="1"/>
  <c r="B47" i="15" a="1"/>
  <c r="B47" i="15" s="1"/>
  <c r="B48" i="15" a="1"/>
  <c r="B48" i="15" s="1"/>
  <c r="B49" i="15" a="1"/>
  <c r="B49" i="15" s="1"/>
  <c r="B50" i="15" a="1"/>
  <c r="B50" i="15" s="1"/>
  <c r="B51" i="15" a="1"/>
  <c r="B51" i="15" s="1"/>
  <c r="B52" i="15" a="1"/>
  <c r="B52" i="15" s="1"/>
  <c r="B53" i="15" a="1"/>
  <c r="B53" i="15" s="1"/>
  <c r="B54" i="15" a="1"/>
  <c r="B54" i="15" s="1"/>
  <c r="B55" i="15" a="1"/>
  <c r="B55" i="15" s="1"/>
  <c r="B56" i="15" a="1"/>
  <c r="B56" i="15" s="1"/>
  <c r="B57" i="15" a="1"/>
  <c r="B57" i="15" s="1"/>
  <c r="B58" i="15" a="1"/>
  <c r="B58" i="15" s="1"/>
  <c r="B59" i="15" a="1"/>
  <c r="B59" i="15" s="1"/>
  <c r="B60" i="15" a="1"/>
  <c r="B60" i="15" s="1"/>
  <c r="B61" i="15" a="1"/>
  <c r="B61" i="15" s="1"/>
  <c r="B62" i="15" a="1"/>
  <c r="B62" i="15" s="1"/>
  <c r="B63" i="15" a="1"/>
  <c r="B63" i="15" s="1"/>
  <c r="B64" i="15" a="1"/>
  <c r="B64" i="15" s="1"/>
  <c r="B65" i="15" a="1"/>
  <c r="B65" i="15" s="1"/>
  <c r="B66" i="15" a="1"/>
  <c r="B66" i="15" s="1"/>
  <c r="B67" i="15" a="1"/>
  <c r="B67" i="15" s="1"/>
  <c r="B68" i="15" a="1"/>
  <c r="B68" i="15" s="1"/>
  <c r="B69" i="15" a="1"/>
  <c r="B69" i="15" s="1"/>
  <c r="B70" i="15" a="1"/>
  <c r="B70" i="15" s="1"/>
  <c r="B71" i="15" a="1"/>
  <c r="B71" i="15" s="1"/>
  <c r="B72" i="15" a="1"/>
  <c r="B72" i="15" s="1"/>
  <c r="B73" i="15" a="1"/>
  <c r="B73" i="15" s="1"/>
  <c r="B74" i="15" a="1"/>
  <c r="B74" i="15" s="1"/>
  <c r="B75" i="15" a="1"/>
  <c r="B75" i="15" s="1"/>
  <c r="B76" i="15" a="1"/>
  <c r="B76" i="15" s="1"/>
  <c r="B77" i="15" a="1"/>
  <c r="B77" i="15" s="1"/>
  <c r="B78" i="15" a="1"/>
  <c r="B78" i="15" s="1"/>
  <c r="B79" i="15" a="1"/>
  <c r="B79" i="15" s="1"/>
  <c r="B80" i="15" a="1"/>
  <c r="B80" i="15" s="1"/>
  <c r="B81" i="15" a="1"/>
  <c r="B81" i="15" s="1"/>
  <c r="B82" i="15" a="1"/>
  <c r="B82" i="15" s="1"/>
  <c r="B83" i="15" a="1"/>
  <c r="B83" i="15" s="1"/>
  <c r="B84" i="15" a="1"/>
  <c r="B84" i="15" s="1"/>
  <c r="B85" i="15" a="1"/>
  <c r="B85" i="15" s="1"/>
  <c r="B86" i="15" a="1"/>
  <c r="B86" i="15" s="1"/>
  <c r="B87" i="15" a="1"/>
  <c r="B87" i="15" s="1"/>
  <c r="B88" i="15" a="1"/>
  <c r="B88" i="15" s="1"/>
  <c r="B89" i="15" a="1"/>
  <c r="B89" i="15" s="1"/>
  <c r="B90" i="15" a="1"/>
  <c r="B90" i="15" s="1"/>
  <c r="B91" i="15" a="1"/>
  <c r="B91" i="15" s="1"/>
  <c r="B92" i="15" a="1"/>
  <c r="B92" i="15" s="1"/>
  <c r="B93" i="15" a="1"/>
  <c r="B93" i="15" s="1"/>
  <c r="B94" i="15" a="1"/>
  <c r="B94" i="15" s="1"/>
  <c r="B95" i="15" a="1"/>
  <c r="B95" i="15" s="1"/>
  <c r="B96" i="15" a="1"/>
  <c r="B96" i="15" s="1"/>
  <c r="B97" i="15" a="1"/>
  <c r="B97" i="15" s="1"/>
  <c r="B98" i="15" a="1"/>
  <c r="B98" i="15" s="1"/>
  <c r="B99" i="15" a="1"/>
  <c r="B99" i="15" s="1"/>
  <c r="B100" i="15" a="1"/>
  <c r="B100" i="15" s="1"/>
  <c r="B101" i="15" a="1"/>
  <c r="B101" i="15" s="1"/>
  <c r="B102" i="15" a="1"/>
  <c r="B102" i="15" s="1"/>
  <c r="B103" i="15" a="1"/>
  <c r="B103" i="15" s="1"/>
  <c r="B104" i="15" a="1"/>
  <c r="B104" i="15" s="1"/>
  <c r="B105" i="15" a="1"/>
  <c r="B105" i="15" s="1"/>
  <c r="B106" i="15" a="1"/>
  <c r="B106" i="15" s="1"/>
  <c r="B107" i="15" a="1"/>
  <c r="B107" i="15" s="1"/>
  <c r="B108" i="15" a="1"/>
  <c r="B108" i="15" s="1"/>
  <c r="B109" i="15" a="1"/>
  <c r="B109" i="15" s="1"/>
  <c r="B110" i="15" a="1"/>
  <c r="B110" i="15" s="1"/>
  <c r="B111" i="15" a="1"/>
  <c r="B111" i="15" s="1"/>
  <c r="B112" i="15" a="1"/>
  <c r="B112" i="15" s="1"/>
  <c r="B113" i="15" a="1"/>
  <c r="B113" i="15" s="1"/>
  <c r="B114" i="15" a="1"/>
  <c r="B114" i="15" s="1"/>
  <c r="B115" i="15" a="1"/>
  <c r="B115" i="15" s="1"/>
  <c r="B116" i="15" a="1"/>
  <c r="B116" i="15" s="1"/>
  <c r="B117" i="15" a="1"/>
  <c r="B117" i="15" s="1"/>
  <c r="B118" i="15" a="1"/>
  <c r="B118" i="15" s="1"/>
  <c r="B119" i="15" a="1"/>
  <c r="B119" i="15" s="1"/>
  <c r="B120" i="15" a="1"/>
  <c r="B120" i="15" s="1"/>
  <c r="B121" i="15" a="1"/>
  <c r="B121" i="15" s="1"/>
  <c r="B122" i="15" a="1"/>
  <c r="B122" i="15" s="1"/>
  <c r="B123" i="15" a="1"/>
  <c r="B123" i="15" s="1"/>
  <c r="B124" i="15" a="1"/>
  <c r="B124" i="15" s="1"/>
  <c r="B125" i="15" a="1"/>
  <c r="B125" i="15" s="1"/>
  <c r="B126" i="15" a="1"/>
  <c r="B126" i="15" s="1"/>
  <c r="B127" i="15" a="1"/>
  <c r="B127" i="15" s="1"/>
  <c r="B128" i="15" a="1"/>
  <c r="B128" i="15" s="1"/>
  <c r="B129" i="15" a="1"/>
  <c r="B129" i="15" s="1"/>
  <c r="B130" i="15" a="1"/>
  <c r="B130" i="15" s="1"/>
  <c r="B131" i="15" a="1"/>
  <c r="B131" i="15" s="1"/>
  <c r="B132" i="15" a="1"/>
  <c r="B132" i="15" s="1"/>
  <c r="B133" i="15" a="1"/>
  <c r="B133" i="15" s="1"/>
  <c r="B134" i="15" a="1"/>
  <c r="B134" i="15" s="1"/>
  <c r="B135" i="15" a="1"/>
  <c r="B135" i="15" s="1"/>
  <c r="B136" i="15" a="1"/>
  <c r="B136" i="15" s="1"/>
  <c r="B137" i="15" a="1"/>
  <c r="B137" i="15" s="1"/>
  <c r="B138" i="15" a="1"/>
  <c r="B138" i="15" s="1"/>
  <c r="B139" i="15" a="1"/>
  <c r="B139" i="15" s="1"/>
  <c r="B140" i="15" a="1"/>
  <c r="B140" i="15" s="1"/>
  <c r="B141" i="15" a="1"/>
  <c r="B141" i="15" s="1"/>
  <c r="B142" i="15" a="1"/>
  <c r="B142" i="15" s="1"/>
  <c r="B143" i="15" a="1"/>
  <c r="B143" i="15" s="1"/>
  <c r="B144" i="15" a="1"/>
  <c r="B144" i="15" s="1"/>
  <c r="B145" i="15" a="1"/>
  <c r="B145" i="15" s="1"/>
  <c r="B146" i="15" a="1"/>
  <c r="B146" i="15" s="1"/>
  <c r="B147" i="15" a="1"/>
  <c r="B147" i="15" s="1"/>
  <c r="B148" i="15" a="1"/>
  <c r="B148" i="15" s="1"/>
  <c r="B149" i="15" a="1"/>
  <c r="B149" i="15" s="1"/>
  <c r="B150" i="15" a="1"/>
  <c r="B150" i="15" s="1"/>
  <c r="B151" i="15" a="1"/>
  <c r="B151" i="15" s="1"/>
  <c r="B152" i="15" a="1"/>
  <c r="B152" i="15" s="1"/>
  <c r="B153" i="15" a="1"/>
  <c r="B153" i="15" s="1"/>
  <c r="B154" i="15" a="1"/>
  <c r="B154" i="15" s="1"/>
  <c r="B155" i="15" a="1"/>
  <c r="B155" i="15" s="1"/>
  <c r="B156" i="15" a="1"/>
  <c r="B156" i="15" s="1"/>
  <c r="B157" i="15" a="1"/>
  <c r="B157" i="15" s="1"/>
  <c r="B158" i="15" a="1"/>
  <c r="B158" i="15" s="1"/>
  <c r="B159" i="15" a="1"/>
  <c r="B159" i="15" s="1"/>
  <c r="B160" i="15" a="1"/>
  <c r="B160" i="15" s="1"/>
  <c r="B161" i="15" a="1"/>
  <c r="B161" i="15" s="1"/>
  <c r="B162" i="15" a="1"/>
  <c r="B162" i="15" s="1"/>
  <c r="B163" i="15" a="1"/>
  <c r="B163" i="15" s="1"/>
  <c r="B164" i="15" a="1"/>
  <c r="B164" i="15" s="1"/>
  <c r="B165" i="15" a="1"/>
  <c r="B165" i="15" s="1"/>
  <c r="B166" i="15" a="1"/>
  <c r="B166" i="15" s="1"/>
  <c r="B167" i="15" a="1"/>
  <c r="B167" i="15" s="1"/>
  <c r="B168" i="15" a="1"/>
  <c r="B168" i="15" s="1"/>
  <c r="B169" i="15" a="1"/>
  <c r="B169" i="15" s="1"/>
  <c r="B170" i="15" a="1"/>
  <c r="B170" i="15" s="1"/>
  <c r="B171" i="15" a="1"/>
  <c r="B171" i="15" s="1"/>
  <c r="B172" i="15" a="1"/>
  <c r="B172" i="15" s="1"/>
  <c r="B173" i="15" a="1"/>
  <c r="B173" i="15" s="1"/>
  <c r="B174" i="15" a="1"/>
  <c r="B174" i="15" s="1"/>
  <c r="B175" i="15" a="1"/>
  <c r="B175" i="15" s="1"/>
  <c r="B176" i="15" a="1"/>
  <c r="B176" i="15" s="1"/>
  <c r="B177" i="15" a="1"/>
  <c r="B177" i="15" s="1"/>
  <c r="B178" i="15" a="1"/>
  <c r="B178" i="15" s="1"/>
  <c r="B179" i="15" a="1"/>
  <c r="B179" i="15" s="1"/>
  <c r="B180" i="15" a="1"/>
  <c r="B180" i="15" s="1"/>
  <c r="B181" i="15" a="1"/>
  <c r="B181" i="15" s="1"/>
  <c r="B182" i="15" a="1"/>
  <c r="B182" i="15" s="1"/>
  <c r="B183" i="15" a="1"/>
  <c r="B183" i="15" s="1"/>
  <c r="B184" i="15" a="1"/>
  <c r="B184" i="15" s="1"/>
  <c r="B185" i="15" a="1"/>
  <c r="B185" i="15" s="1"/>
  <c r="B186" i="15" a="1"/>
  <c r="B186" i="15" s="1"/>
  <c r="B187" i="15" a="1"/>
  <c r="B187" i="15" s="1"/>
  <c r="B188" i="15" a="1"/>
  <c r="B188" i="15" s="1"/>
  <c r="B189" i="15" a="1"/>
  <c r="B189" i="15" s="1"/>
  <c r="B190" i="15" a="1"/>
  <c r="B190" i="15" s="1"/>
  <c r="B191" i="15" a="1"/>
  <c r="B191" i="15" s="1"/>
  <c r="B192" i="15" a="1"/>
  <c r="B192" i="15" s="1"/>
  <c r="B193" i="15" a="1"/>
  <c r="B193" i="15" s="1"/>
  <c r="B194" i="15" a="1"/>
  <c r="B194" i="15" s="1"/>
  <c r="B195" i="15" a="1"/>
  <c r="B195" i="15" s="1"/>
  <c r="B196" i="15" a="1"/>
  <c r="B196" i="15" s="1"/>
  <c r="B197" i="15" a="1"/>
  <c r="B197" i="15" s="1"/>
  <c r="B198" i="15" a="1"/>
  <c r="B198" i="15" s="1"/>
  <c r="B199" i="15" a="1"/>
  <c r="B199" i="15" s="1"/>
  <c r="B200" i="15" a="1"/>
  <c r="B200" i="15" s="1"/>
  <c r="B8" i="15" a="1"/>
  <c r="B8" i="15" s="1"/>
  <c r="A61" i="15" a="1"/>
  <c r="A61" i="15" s="1"/>
  <c r="A62" i="15" a="1"/>
  <c r="A62" i="15" s="1"/>
  <c r="A63" i="15" a="1"/>
  <c r="A63" i="15" s="1"/>
  <c r="A65" i="15" a="1"/>
  <c r="A65" i="15" s="1"/>
  <c r="A66" i="15" a="1"/>
  <c r="A66" i="15" s="1"/>
  <c r="A67" i="15" a="1"/>
  <c r="A67" i="15" s="1"/>
  <c r="A69" i="15" a="1"/>
  <c r="A69" i="15" s="1"/>
  <c r="A51" i="15" a="1"/>
  <c r="A51" i="15" s="1"/>
  <c r="A52" i="15" a="1"/>
  <c r="A52" i="15" s="1"/>
  <c r="A53" i="15" a="1"/>
  <c r="A53" i="15" s="1"/>
  <c r="A54" i="15" a="1"/>
  <c r="A54" i="15" s="1"/>
  <c r="A55" i="15" a="1"/>
  <c r="A55" i="15" s="1"/>
  <c r="A56" i="15" a="1"/>
  <c r="A56" i="15" s="1"/>
  <c r="A57" i="15" a="1"/>
  <c r="A57" i="15" s="1"/>
  <c r="A58" i="15" a="1"/>
  <c r="A58" i="15" s="1"/>
  <c r="A59" i="15" a="1"/>
  <c r="A59" i="15" s="1"/>
  <c r="A9" i="15" a="1"/>
  <c r="A9" i="15" s="1"/>
  <c r="A10" i="15" a="1"/>
  <c r="A10" i="15" s="1"/>
  <c r="A11" i="15" a="1"/>
  <c r="A11" i="15" s="1"/>
  <c r="A12" i="15" a="1"/>
  <c r="A12" i="15" s="1"/>
  <c r="A13" i="15" a="1"/>
  <c r="A13" i="15" s="1"/>
  <c r="A14" i="15" a="1"/>
  <c r="A14" i="15" s="1"/>
  <c r="A15" i="15" a="1"/>
  <c r="A15" i="15" s="1"/>
  <c r="A16" i="15" a="1"/>
  <c r="A16" i="15" s="1"/>
  <c r="A17" i="15" a="1"/>
  <c r="A17" i="15" s="1"/>
  <c r="A18" i="15" a="1"/>
  <c r="A18" i="15" s="1"/>
  <c r="A19" i="15" a="1"/>
  <c r="A19" i="15" s="1"/>
  <c r="A20" i="15" a="1"/>
  <c r="A20" i="15" s="1"/>
  <c r="A21" i="15" a="1"/>
  <c r="A21" i="15" s="1"/>
  <c r="A22" i="15" a="1"/>
  <c r="A22" i="15" s="1"/>
  <c r="A23" i="15" a="1"/>
  <c r="A23" i="15" s="1"/>
  <c r="A24" i="15" a="1"/>
  <c r="A24" i="15" s="1"/>
  <c r="A25" i="15" a="1"/>
  <c r="A25" i="15" s="1"/>
  <c r="A26" i="15" a="1"/>
  <c r="A26" i="15" s="1"/>
  <c r="A27" i="15" a="1"/>
  <c r="A27" i="15" s="1"/>
  <c r="A28" i="15" a="1"/>
  <c r="A28" i="15" s="1"/>
  <c r="A29" i="15" a="1"/>
  <c r="A29" i="15" s="1"/>
  <c r="A30" i="15" a="1"/>
  <c r="A30" i="15" s="1"/>
  <c r="A31" i="15" a="1"/>
  <c r="A31" i="15" s="1"/>
  <c r="A32" i="15" a="1"/>
  <c r="A32" i="15" s="1"/>
  <c r="A33" i="15" a="1"/>
  <c r="A33" i="15" s="1"/>
  <c r="A34" i="15" a="1"/>
  <c r="A34" i="15" s="1"/>
  <c r="A35" i="15" a="1"/>
  <c r="A35" i="15" s="1"/>
  <c r="A36" i="15" a="1"/>
  <c r="A36" i="15" s="1"/>
  <c r="A37" i="15" a="1"/>
  <c r="A37" i="15" s="1"/>
  <c r="A38" i="15" a="1"/>
  <c r="A38" i="15" s="1"/>
  <c r="A39" i="15" a="1"/>
  <c r="A39" i="15" s="1"/>
  <c r="A40" i="15" a="1"/>
  <c r="A40" i="15" s="1"/>
  <c r="A41" i="15" a="1"/>
  <c r="A41" i="15" s="1"/>
  <c r="A42" i="15" a="1"/>
  <c r="A42" i="15" s="1"/>
  <c r="A43" i="15" a="1"/>
  <c r="A43" i="15" s="1"/>
  <c r="A44" i="15" a="1"/>
  <c r="A44" i="15" s="1"/>
  <c r="A45" i="15" a="1"/>
  <c r="A45" i="15" s="1"/>
  <c r="A46" i="15" a="1"/>
  <c r="A46" i="15" s="1"/>
  <c r="A47" i="15" a="1"/>
  <c r="A47" i="15" s="1"/>
  <c r="A48" i="15" a="1"/>
  <c r="A48" i="15" s="1"/>
  <c r="A49" i="15" a="1"/>
  <c r="A49" i="15" s="1"/>
  <c r="A50" i="15" a="1"/>
  <c r="A50" i="15" s="1"/>
  <c r="A8" i="15" a="1"/>
  <c r="A8" i="15" s="1"/>
  <c r="F2" i="6"/>
  <c r="A23" i="6" s="1"/>
  <c r="Z32" i="6"/>
  <c r="Z31" i="6"/>
  <c r="Z30" i="6"/>
  <c r="Z29" i="6"/>
  <c r="Z28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5" i="6"/>
  <c r="Z4" i="6"/>
  <c r="Z6" i="6"/>
  <c r="Z3" i="6"/>
  <c r="Z2" i="6"/>
  <c r="F71" i="15" l="1" a="1"/>
  <c r="F71" i="15" s="1"/>
  <c r="F67" i="15" a="1"/>
  <c r="F67" i="15" s="1"/>
  <c r="F11" i="15" a="1"/>
  <c r="F11" i="15" s="1"/>
  <c r="F15" i="15" s="1" a="1"/>
  <c r="F15" i="15" s="1"/>
  <c r="F18" i="15" s="1" a="1"/>
  <c r="F18" i="15" s="1"/>
  <c r="F19" i="15" s="1" a="1"/>
  <c r="F19" i="15" s="1"/>
  <c r="F22" i="15" s="1" a="1"/>
  <c r="F22" i="15" s="1"/>
  <c r="F23" i="15" s="1" a="1"/>
  <c r="F23" i="15" s="1"/>
  <c r="F26" i="15" s="1" a="1"/>
  <c r="F26" i="15" s="1"/>
  <c r="F27" i="15" s="1" a="1"/>
  <c r="F27" i="15" s="1"/>
  <c r="F30" i="15" s="1" a="1"/>
  <c r="F30" i="15" s="1"/>
  <c r="F31" i="15" s="1" a="1"/>
  <c r="F31" i="15" s="1"/>
  <c r="F34" i="15" s="1" a="1"/>
  <c r="F34" i="15" s="1"/>
  <c r="F35" i="15" s="1" a="1"/>
  <c r="F35" i="15" s="1"/>
  <c r="F38" i="15" s="1" a="1"/>
  <c r="F38" i="15" s="1"/>
  <c r="F39" i="15" s="1" a="1"/>
  <c r="F39" i="15" s="1"/>
  <c r="F42" i="15" s="1" a="1"/>
  <c r="F42" i="15" s="1"/>
  <c r="F43" i="15" s="1" a="1"/>
  <c r="F43" i="15" s="1"/>
  <c r="F46" i="15" s="1" a="1"/>
  <c r="F46" i="15" s="1"/>
  <c r="F47" i="15" s="1" a="1"/>
  <c r="F47" i="15" s="1"/>
  <c r="F50" i="15" s="1" a="1"/>
  <c r="F50" i="15" s="1"/>
  <c r="F51" i="15" s="1" a="1"/>
  <c r="F51" i="15" s="1"/>
  <c r="F55" i="15" s="1" a="1"/>
  <c r="F55" i="15" s="1"/>
  <c r="F58" i="15" s="1" a="1"/>
  <c r="F58" i="15" s="1"/>
  <c r="F59" i="15" s="1" a="1"/>
  <c r="F59" i="15" s="1"/>
  <c r="F62" i="15" s="1" a="1"/>
  <c r="F62" i="15" s="1"/>
  <c r="F63" i="15" s="1" a="1"/>
  <c r="F63" i="15" s="1"/>
  <c r="F1" i="6"/>
  <c r="A13" i="6" s="1"/>
  <c r="F3" i="6"/>
  <c r="A38" i="6" s="1"/>
  <c r="A16" i="6"/>
  <c r="A17" i="6"/>
  <c r="A18" i="6"/>
  <c r="A27" i="6"/>
  <c r="A15" i="6"/>
  <c r="A20" i="6"/>
  <c r="A22" i="6"/>
  <c r="A24" i="6"/>
  <c r="A26" i="6"/>
  <c r="A25" i="6"/>
  <c r="A36" i="6" l="1"/>
  <c r="A39" i="6"/>
  <c r="A35" i="6"/>
  <c r="A10" i="6"/>
  <c r="A40" i="6"/>
  <c r="A9" i="6"/>
  <c r="A12" i="6"/>
  <c r="A11" i="6"/>
  <c r="A5" i="6"/>
  <c r="A30" i="6"/>
  <c r="A4" i="6"/>
  <c r="A28" i="6"/>
  <c r="A2" i="6"/>
  <c r="A31" i="6"/>
  <c r="A7" i="6"/>
  <c r="A8" i="6" s="1"/>
  <c r="A29" i="6"/>
  <c r="A37" i="6"/>
  <c r="A3" i="6"/>
  <c r="A33" i="6"/>
  <c r="A34" i="6" s="1"/>
  <c r="A14" i="6"/>
  <c r="A19" i="6"/>
  <c r="A21" i="6"/>
  <c r="A32" i="6" l="1"/>
  <c r="A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2EAE04-B867-4D88-9F17-DD6E04311BCF}" keepAlive="1" name="Query - Combined" description="Connection to the 'Combined' query in the workbook." type="5" refreshedVersion="8" background="1" refreshOnLoad="1" saveData="1">
    <dbPr connection="Provider=Microsoft.Mashup.OleDb.1;Data Source=$Workbook$;Location=Combined;Extended Properties=&quot;&quot;" command="SELECT * FROM [Combined]"/>
  </connection>
  <connection id="2" xr16:uid="{68EC5BB8-1D37-4D26-A4C6-9AF6829D3C05}" keepAlive="1" name="Query - Combined (2)" description="Connection to the 'Combined (2)' query in the workbook." type="5" refreshedVersion="8" background="1" refreshOnLoad="1" saveData="1">
    <dbPr connection="Provider=Microsoft.Mashup.OleDb.1;Data Source=$Workbook$;Location=&quot;Combined (2)&quot;;Extended Properties=&quot;&quot;" command="SELECT * FROM [Combined (2)]"/>
  </connection>
  <connection id="3" xr16:uid="{E1D833DB-8DBB-450A-97C6-73DC0EEAAEA7}" keepAlive="1" name="Query - CombinedCats" description="Connection to the 'CombinedCats' query in the workbook." type="5" refreshedVersion="8" background="1" refreshOnLoad="1" saveData="1">
    <dbPr connection="Provider=Microsoft.Mashup.OleDb.1;Data Source=$Workbook$;Location=CombinedCats;Extended Properties=&quot;&quot;" command="SELECT * FROM [CombinedCats]"/>
  </connection>
  <connection id="4" xr16:uid="{B5448E6D-CF60-4AF9-AA19-ED80F04EAD10}" keepAlive="1" name="Query - InsertDrmis" description="Connection to the 'InsertDrmis' query in the workbook." type="5" refreshedVersion="8" background="1" refreshOnLoad="1" saveData="1">
    <dbPr connection="Provider=Microsoft.Mashup.OleDb.1;Data Source=$Workbook$;Location=InsertDrmis;Extended Properties=&quot;&quot;" command="SELECT * FROM [InsertDrmis]"/>
  </connection>
  <connection id="5" xr16:uid="{C127A4B5-DE71-4990-A895-C18E7FF0BB20}" keepAlive="1" name="Query - InsertOracle" description="Connection to the 'InsertOracle' query in the workbook." type="5" refreshedVersion="8" background="1" refreshOnLoad="1" saveData="1">
    <dbPr connection="Provider=Microsoft.Mashup.OleDb.1;Data Source=$Workbook$;Location=InsertOracle;Extended Properties=&quot;&quot;" command="SELECT * FROM [InsertOrac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<sst xmlns="http://schemas.openxmlformats.org/spreadsheetml/2006/main" count="601" uniqueCount="192">
  <si>
    <t>Employee Leave Reconciliation Workbook - Start Page</t>
  </si>
  <si>
    <t>Follow these steps to reconcile leave entries from DRMIS and ORACLE reports.</t>
  </si>
  <si>
    <t>Step 1: Insert DRMIS Report</t>
  </si>
  <si>
    <r>
      <t xml:space="preserve">• First if there is any data present delete what is already there, you should be able to delete everthing but the headers.                   • I find it best to export </t>
    </r>
    <r>
      <rPr>
        <b/>
        <sz val="12"/>
        <color rgb="FF000000"/>
        <rFont val="Calibri"/>
        <family val="2"/>
      </rPr>
      <t>CADO</t>
    </r>
    <r>
      <rPr>
        <sz val="12"/>
        <color rgb="FF000000"/>
        <rFont val="Calibri"/>
        <family val="2"/>
      </rPr>
      <t xml:space="preserve"> Leave summary in the</t>
    </r>
    <r>
      <rPr>
        <b/>
        <sz val="12"/>
        <color rgb="FF000000"/>
        <rFont val="Calibri"/>
        <family val="2"/>
      </rPr>
      <t xml:space="preserve"> /Leave</t>
    </r>
    <r>
      <rPr>
        <sz val="12"/>
        <color rgb="FF000000"/>
        <rFont val="Calibri"/>
        <family val="2"/>
      </rPr>
      <t xml:space="preserve"> format. Export (Save) the report in</t>
    </r>
    <r>
      <rPr>
        <b/>
        <sz val="12"/>
        <color rgb="FF000000"/>
        <rFont val="Calibri"/>
        <family val="2"/>
      </rPr>
      <t xml:space="preserve"> xls format</t>
    </r>
    <r>
      <rPr>
        <sz val="12"/>
        <color rgb="FF000000"/>
        <rFont val="Calibri"/>
        <family val="2"/>
      </rPr>
      <t xml:space="preserve"> on desktop.                                                                                        • Copy from the Headers down, </t>
    </r>
    <r>
      <rPr>
        <b/>
        <sz val="12"/>
        <color rgb="FF000000"/>
        <rFont val="Calibri"/>
        <family val="2"/>
      </rPr>
      <t>Do not copy the Headers</t>
    </r>
    <r>
      <rPr>
        <sz val="12"/>
        <color rgb="FF000000"/>
        <rFont val="Calibri"/>
        <family val="2"/>
      </rPr>
      <t xml:space="preserve"> themselves                                                                                                        • Paste the DRMIS report into the</t>
    </r>
    <r>
      <rPr>
        <b/>
        <sz val="12"/>
        <color rgb="FF000000"/>
        <rFont val="Calibri"/>
        <family val="2"/>
      </rPr>
      <t xml:space="preserve"> 'InsertDrmis' tab</t>
    </r>
    <r>
      <rPr>
        <sz val="12"/>
        <color rgb="FF000000"/>
        <rFont val="Calibri"/>
      </rPr>
      <t xml:space="preserve">. Ensure columns match: Employee ID, Date, Leave Type, etc.                                        • Do not worry about extra blank rows or rows with no date in them. </t>
    </r>
    <r>
      <rPr>
        <b/>
        <sz val="12"/>
        <color rgb="FF000000"/>
        <rFont val="Calibri"/>
        <family val="2"/>
      </rPr>
      <t>All rows without a date are ignored</t>
    </r>
    <r>
      <rPr>
        <sz val="12"/>
        <color rgb="FF000000"/>
        <rFont val="Calibri"/>
      </rPr>
      <t xml:space="preserve">.                                          • Move on to Step 2 </t>
    </r>
  </si>
  <si>
    <t>Go to InsertDrmis Tab</t>
  </si>
  <si>
    <t>Step 2: Insert Oracle Report</t>
  </si>
  <si>
    <r>
      <t xml:space="preserve">• First if there is any data present delete what is already there, you should be able to delete everthing but the headers.                   • In Oracle, </t>
    </r>
    <r>
      <rPr>
        <b/>
        <sz val="12"/>
        <color rgb="FF000000"/>
        <rFont val="Calibri"/>
        <family val="2"/>
      </rPr>
      <t>view al</t>
    </r>
    <r>
      <rPr>
        <sz val="12"/>
        <color rgb="FF000000"/>
        <rFont val="Calibri"/>
        <family val="2"/>
      </rPr>
      <t>l summary and click the</t>
    </r>
    <r>
      <rPr>
        <b/>
        <sz val="12"/>
        <color rgb="FF000000"/>
        <rFont val="Calibri"/>
        <family val="2"/>
      </rPr>
      <t xml:space="preserve"> export to xlsx format</t>
    </r>
    <r>
      <rPr>
        <sz val="12"/>
        <color rgb="FF000000"/>
        <rFont val="Calibri"/>
        <family val="2"/>
      </rPr>
      <t xml:space="preserve">.                                                                                                               • Open the downloaded excel file and copy everything but the headers. </t>
    </r>
    <r>
      <rPr>
        <b/>
        <sz val="12"/>
        <color rgb="FF000000"/>
        <rFont val="Calibri"/>
        <family val="2"/>
      </rPr>
      <t>Do NOT copy the headers</t>
    </r>
    <r>
      <rPr>
        <sz val="12"/>
        <color rgb="FF000000"/>
        <rFont val="Calibri"/>
        <family val="2"/>
      </rPr>
      <t xml:space="preserve">                                                                                                     • Paste the </t>
    </r>
    <r>
      <rPr>
        <b/>
        <sz val="12"/>
        <color rgb="FF000000"/>
        <rFont val="Calibri"/>
        <family val="2"/>
      </rPr>
      <t>ORACLE</t>
    </r>
    <r>
      <rPr>
        <sz val="12"/>
        <color rgb="FF000000"/>
        <rFont val="Calibri"/>
        <family val="2"/>
      </rPr>
      <t xml:space="preserve"> report into the</t>
    </r>
    <r>
      <rPr>
        <b/>
        <sz val="12"/>
        <color rgb="FF000000"/>
        <rFont val="Calibri"/>
        <family val="2"/>
      </rPr>
      <t xml:space="preserve"> 'InsertOracle' tab</t>
    </r>
    <r>
      <rPr>
        <sz val="12"/>
        <color rgb="FF000000"/>
        <rFont val="Calibri"/>
        <family val="2"/>
      </rPr>
      <t xml:space="preserve">. Ensure columns match: Date, Leave Code, Hours.                                               • Do not worry about extra blank rows or rows with no date in them. </t>
    </r>
    <r>
      <rPr>
        <b/>
        <sz val="12"/>
        <color rgb="FF000000"/>
        <rFont val="Calibri"/>
        <family val="2"/>
      </rPr>
      <t>All rows without a date are ignored</t>
    </r>
    <r>
      <rPr>
        <sz val="12"/>
        <color rgb="FF000000"/>
        <rFont val="Calibri"/>
        <family val="2"/>
      </rPr>
      <t>.                                          • Move on to Step 3</t>
    </r>
  </si>
  <si>
    <t>Go to InsertOracle Tab</t>
  </si>
  <si>
    <t>Step 3: Refresh and View Results</t>
  </si>
  <si>
    <r>
      <t xml:space="preserve">• After pasting both reports, </t>
    </r>
    <r>
      <rPr>
        <b/>
        <sz val="12"/>
        <color rgb="FF000000"/>
        <rFont val="Calibri"/>
        <family val="2"/>
      </rPr>
      <t>refresh all</t>
    </r>
    <r>
      <rPr>
        <sz val="12"/>
        <color rgb="FF000000"/>
        <rFont val="Calibri"/>
        <family val="2"/>
      </rPr>
      <t xml:space="preserve"> calculations (</t>
    </r>
    <r>
      <rPr>
        <b/>
        <sz val="12"/>
        <color rgb="FF000000"/>
        <rFont val="Calibri"/>
        <family val="2"/>
      </rPr>
      <t>Ctrl+Alt+F5</t>
    </r>
    <r>
      <rPr>
        <sz val="12"/>
        <color rgb="FF000000"/>
        <rFont val="Calibri"/>
        <family val="2"/>
      </rPr>
      <t xml:space="preserve"> if needed)   or goto</t>
    </r>
    <r>
      <rPr>
        <b/>
        <sz val="12"/>
        <color rgb="FF000000"/>
        <rFont val="Calibri"/>
        <family val="2"/>
      </rPr>
      <t xml:space="preserve"> DATA -&gt; REFRESH ALL</t>
    </r>
    <r>
      <rPr>
        <sz val="12"/>
        <color rgb="FF000000"/>
        <rFont val="Calibri"/>
        <family val="2"/>
      </rPr>
      <t xml:space="preserve">                                                                                            • Review mismatches on the 'Combined' tab, which displays only Oracle and Drmis records that don't match. </t>
    </r>
  </si>
  <si>
    <t>Go to Combined Tab</t>
  </si>
  <si>
    <t xml:space="preserve">Note: This workbook compares DRMIS (employer) and Oracle (employee) leave entries. </t>
  </si>
  <si>
    <t>Pers.No.</t>
  </si>
  <si>
    <t>Date</t>
  </si>
  <si>
    <t>Hours</t>
  </si>
  <si>
    <t>WkShortTxt</t>
  </si>
  <si>
    <t>Name</t>
  </si>
  <si>
    <t>Send. CCtr</t>
  </si>
  <si>
    <t>A/AType</t>
  </si>
  <si>
    <t>A/A type text</t>
  </si>
  <si>
    <t>Name2</t>
  </si>
  <si>
    <t>08.04.2025</t>
  </si>
  <si>
    <t>David Mark McConnell</t>
  </si>
  <si>
    <t>Annual Leave</t>
  </si>
  <si>
    <t>Approved</t>
  </si>
  <si>
    <t>28.04.2025</t>
  </si>
  <si>
    <t>03.06.2025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</si>
  <si>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</si>
  <si>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</si>
  <si>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</si>
  <si>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</si>
  <si>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</si>
  <si>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</si>
  <si>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</si>
  <si>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</si>
  <si>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02.07.2025</t>
  </si>
  <si>
    <t>03.07.2025</t>
  </si>
  <si>
    <t>04.07.2025</t>
  </si>
  <si>
    <t>09.09.2025</t>
  </si>
  <si>
    <t>26.09.2025</t>
  </si>
  <si>
    <t>20.08.2025</t>
  </si>
  <si>
    <t>Compensatory Leave</t>
  </si>
  <si>
    <t>03.09.2025</t>
  </si>
  <si>
    <t>22.10.2025</t>
  </si>
  <si>
    <t>30.10.2025</t>
  </si>
  <si>
    <t>11.06.2025</t>
  </si>
  <si>
    <t>Sick -Uncertified</t>
  </si>
  <si>
    <t>23.09.2025</t>
  </si>
  <si>
    <t>Training</t>
  </si>
  <si>
    <t>3554PD</t>
  </si>
  <si>
    <t>Training Time/Pers Dev</t>
  </si>
  <si>
    <t>20.05.2025</t>
  </si>
  <si>
    <t>57MM, Gun Faults, GCC Replacement SC1</t>
  </si>
  <si>
    <t>Travel Time</t>
  </si>
  <si>
    <t>21.05.2025</t>
  </si>
  <si>
    <t>Leave Code</t>
  </si>
  <si>
    <t>Description</t>
  </si>
  <si>
    <t>From Date</t>
  </si>
  <si>
    <t>To Date</t>
  </si>
  <si>
    <t>Hours Recorded</t>
  </si>
  <si>
    <t>Transaction Date</t>
  </si>
  <si>
    <t>Leave Status</t>
  </si>
  <si>
    <t>Supervisor</t>
  </si>
  <si>
    <t>Adjustment Reason</t>
  </si>
  <si>
    <t>Vacation</t>
  </si>
  <si>
    <t>26-09-2025</t>
  </si>
  <si>
    <t>29-09-2025</t>
  </si>
  <si>
    <t>Nathan Hirtle</t>
  </si>
  <si>
    <t>09-09-2025</t>
  </si>
  <si>
    <t>08-09-2025</t>
  </si>
  <si>
    <t>30-06-2025</t>
  </si>
  <si>
    <t>04-07-2025</t>
  </si>
  <si>
    <t>07-07-2025</t>
  </si>
  <si>
    <t>19-06-2025</t>
  </si>
  <si>
    <t>27-06-2025</t>
  </si>
  <si>
    <t>16-06-2025</t>
  </si>
  <si>
    <t>11-06-2025</t>
  </si>
  <si>
    <t>03-06-2025</t>
  </si>
  <si>
    <t>04-06-2025</t>
  </si>
  <si>
    <t>22-05-2025</t>
  </si>
  <si>
    <t>04-04-2025</t>
  </si>
  <si>
    <t>03-04-2025</t>
  </si>
  <si>
    <t>Sick Leave Adjustment</t>
  </si>
  <si>
    <t>29-05-2025</t>
  </si>
  <si>
    <t>18-07-2025</t>
  </si>
  <si>
    <t>PCCM17089754 - Sick leave reversed to 660</t>
  </si>
  <si>
    <t>Sick uncertified</t>
  </si>
  <si>
    <t>08-04-2025</t>
  </si>
  <si>
    <t>25-04-2025</t>
  </si>
  <si>
    <t>Sick certified</t>
  </si>
  <si>
    <t>02-06-2025</t>
  </si>
  <si>
    <t>Leonard MacArthur</t>
  </si>
  <si>
    <t>Overtime regular working day</t>
  </si>
  <si>
    <t>15-08-2025</t>
  </si>
  <si>
    <t>10-09-2025</t>
  </si>
  <si>
    <t>CAS-814502-R5N8T6- DW</t>
  </si>
  <si>
    <t>06-06-2025</t>
  </si>
  <si>
    <t>11-07-2025</t>
  </si>
  <si>
    <t>CAS-789104 TS</t>
  </si>
  <si>
    <t>05-06-2025</t>
  </si>
  <si>
    <t>Overtime first day rest</t>
  </si>
  <si>
    <t>07-06-2025</t>
  </si>
  <si>
    <t>14-07-2025</t>
  </si>
  <si>
    <t>Family Related Leave Appointments</t>
  </si>
  <si>
    <t>15-09-2025</t>
  </si>
  <si>
    <t>28-04-2025</t>
  </si>
  <si>
    <t>22-04-2025</t>
  </si>
  <si>
    <t>Other Paid Leave Injury on duty</t>
  </si>
  <si>
    <t>Compensatory Leave Used</t>
  </si>
  <si>
    <t>30-10-2025</t>
  </si>
  <si>
    <t>Darryl Frizzell</t>
  </si>
  <si>
    <t>22-10-2025</t>
  </si>
  <si>
    <t>03-10-2025</t>
  </si>
  <si>
    <t>05-09-2025</t>
  </si>
  <si>
    <t>03-09-2025</t>
  </si>
  <si>
    <t>02-09-2025</t>
  </si>
  <si>
    <t>20-08-2025</t>
  </si>
  <si>
    <t>18-08-2025</t>
  </si>
  <si>
    <t>Anthony Casella</t>
  </si>
  <si>
    <t>23-07-2025</t>
  </si>
  <si>
    <t>Pers No</t>
  </si>
  <si>
    <t>Oracle Leave Code</t>
  </si>
  <si>
    <t>Oracle Hours</t>
  </si>
  <si>
    <t>Drmis Leave Code</t>
  </si>
  <si>
    <t>Drmis Hours</t>
  </si>
  <si>
    <t>24148</t>
  </si>
  <si>
    <t>These Dates do not match between DRMIS and ORACLE</t>
  </si>
  <si>
    <t>Modifications to CATs Entries</t>
  </si>
  <si>
    <t xml:space="preserve">These are the changes that need to be made in CATs on DRMIS </t>
  </si>
  <si>
    <t>Work Order</t>
  </si>
  <si>
    <t>Act</t>
  </si>
  <si>
    <t>AA Code</t>
  </si>
  <si>
    <t>Discrepancy Reason</t>
  </si>
  <si>
    <t>GroupID</t>
  </si>
  <si>
    <t>03-APR</t>
  </si>
  <si>
    <t/>
  </si>
  <si>
    <t>Code Mismatch, Hours Mismatch</t>
  </si>
  <si>
    <t>04-APR</t>
  </si>
  <si>
    <t>08-APR</t>
  </si>
  <si>
    <t>Code Mismatch</t>
  </si>
  <si>
    <t>22-APR</t>
  </si>
  <si>
    <t>28-APR</t>
  </si>
  <si>
    <t>22-MAY</t>
  </si>
  <si>
    <t>29-MAY</t>
  </si>
  <si>
    <t>11-JUN</t>
  </si>
  <si>
    <t>18-JUL</t>
  </si>
  <si>
    <t>23-JUL</t>
  </si>
  <si>
    <t>05-SEP</t>
  </si>
  <si>
    <t>15-SEP</t>
  </si>
  <si>
    <t>03-OCT</t>
  </si>
  <si>
    <t>Oracle Date</t>
  </si>
  <si>
    <t>Oracle Pers No</t>
  </si>
  <si>
    <t>1110</t>
  </si>
  <si>
    <t>1210</t>
  </si>
  <si>
    <t>1410</t>
  </si>
  <si>
    <t>1220</t>
  </si>
  <si>
    <t>1810</t>
  </si>
  <si>
    <t>Drmis Date</t>
  </si>
  <si>
    <t>Drmis Name</t>
  </si>
  <si>
    <t>Drmis Pers No</t>
  </si>
  <si>
    <t>Drmis Leave Type</t>
  </si>
  <si>
    <t>HolidayDate</t>
  </si>
  <si>
    <t>Holiday</t>
  </si>
  <si>
    <t>New Years Day</t>
  </si>
  <si>
    <t>Select Year →</t>
  </si>
  <si>
    <t>Canada Day</t>
  </si>
  <si>
    <t>Christmas</t>
  </si>
  <si>
    <t>Boxing Day</t>
  </si>
  <si>
    <t>Good Friday</t>
  </si>
  <si>
    <t>Easter Sunday</t>
  </si>
  <si>
    <t>Easter Monday</t>
  </si>
  <si>
    <t>Victoria Day</t>
  </si>
  <si>
    <t>Labour Day</t>
  </si>
  <si>
    <t>Thanksgiving</t>
  </si>
  <si>
    <t>National Day of Truth and Reconciliation</t>
  </si>
  <si>
    <t>Rememberance Day</t>
  </si>
  <si>
    <t>Natal Day</t>
  </si>
  <si>
    <t xml:space="preserve">If you are sending these changes to DRMIS support add in the additional information </t>
  </si>
  <si>
    <t>in the empty lines to make the employees hours = 8</t>
  </si>
  <si>
    <t>NOTE:</t>
  </si>
  <si>
    <t xml:space="preserve">Cells shaded green </t>
  </si>
  <si>
    <t>can be edited by you</t>
  </si>
  <si>
    <t>Step 4: Determine CATs edits required</t>
  </si>
  <si>
    <t>Go to CATs Edits Tab</t>
  </si>
  <si>
    <r>
      <t xml:space="preserve">• Again, </t>
    </r>
    <r>
      <rPr>
        <b/>
        <sz val="12"/>
        <color rgb="FF000000"/>
        <rFont val="Calibri"/>
        <family val="2"/>
      </rPr>
      <t>refresh all</t>
    </r>
    <r>
      <rPr>
        <sz val="12"/>
        <color rgb="FF000000"/>
        <rFont val="Calibri"/>
        <family val="2"/>
      </rPr>
      <t xml:space="preserve"> calculations (</t>
    </r>
    <r>
      <rPr>
        <b/>
        <sz val="12"/>
        <color rgb="FF000000"/>
        <rFont val="Calibri"/>
        <family val="2"/>
      </rPr>
      <t>Ctrl+Alt+F5</t>
    </r>
    <r>
      <rPr>
        <sz val="12"/>
        <color rgb="FF000000"/>
        <rFont val="Calibri"/>
        <family val="2"/>
      </rPr>
      <t xml:space="preserve"> if needed)   or goto</t>
    </r>
    <r>
      <rPr>
        <b/>
        <sz val="12"/>
        <color rgb="FF000000"/>
        <rFont val="Calibri"/>
        <family val="2"/>
      </rPr>
      <t xml:space="preserve"> DATA -&gt; REFRESH ALL</t>
    </r>
    <r>
      <rPr>
        <sz val="12"/>
        <color rgb="FF000000"/>
        <rFont val="Calibri"/>
        <family val="2"/>
      </rPr>
      <t xml:space="preserve">                                                                                            • Go to the CATs Edits Tab and verify everything is correct.                                                                                                                         • If you are sending this to DRMIS support to update the entries be sure to enter all missing entries for each day.                              • Each day should have the employees Total Hours = 8 unless overtime was incurred.</t>
    </r>
  </si>
  <si>
    <t>Step 4 Below is designed to help you give DRMIS support all the information they require to update the entries.</t>
  </si>
  <si>
    <t>Copy and Paste this</t>
  </si>
  <si>
    <t>table into your email</t>
  </si>
  <si>
    <t>To Delete All:</t>
  </si>
  <si>
    <t xml:space="preserve">Highlight everything in </t>
  </si>
  <si>
    <t>select Clear Contents</t>
  </si>
  <si>
    <t>the table, right click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</si>
</sst>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8"/>
      <color rgb="FF003366"/>
      <name val="Calibri"/>
    </font>
    <font>
      <sz val="12"/>
      <color rgb="FF000000"/>
      <name val="Calibri"/>
    </font>
    <font>
      <b/>
      <sz val="14"/>
      <color rgb="FF003366"/>
      <name val="Calibri"/>
    </font>
    <font>
      <b/>
      <sz val="12"/>
      <color rgb="FFFFFFFF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666666"/>
      <name val="Calibri"/>
      <family val="2"/>
    </font>
    <font>
      <b/>
      <sz val="12"/>
      <color rgb="FFFFFFFF"/>
      <name val="Calibri"/>
      <family val="2"/>
    </font>
    <font>
      <sz val="14"/>
      <color rgb="FF00206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theme="0"/>
      <name val="Arial"/>
      <scheme val="minor"/>
    </font>
    <font>
      <b/>
      <sz val="10"/>
      <color theme="0"/>
      <name val="Arial"/>
      <family val="2"/>
      <scheme val="minor"/>
    </font>
    <font>
      <u/>
      <sz val="10"/>
      <color theme="10"/>
      <name val="Arial"/>
      <scheme val="minor"/>
    </font>
    <font>
      <b/>
      <sz val="14"/>
      <color rgb="FF003366"/>
      <name val="Calibri"/>
      <family val="2"/>
    </font>
    <font>
      <b/>
      <sz val="12"/>
      <color rgb="FF666666"/>
      <name val="Calibri"/>
      <family val="2"/>
    </font>
    <font>
      <b/>
      <sz val="12"/>
      <color theme="2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66"/>
        <bgColor rgb="FF003366"/>
      </patternFill>
    </fill>
    <fill>
      <patternFill patternType="solid">
        <fgColor theme="9"/>
        <bgColor theme="9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ck">
        <color rgb="FF00B050"/>
      </left>
      <right style="thin">
        <color rgb="FFCCCCCC"/>
      </right>
      <top style="thick">
        <color rgb="FF00B05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ck">
        <color rgb="FF00B050"/>
      </top>
      <bottom style="thin">
        <color rgb="FFCCCCCC"/>
      </bottom>
      <diagonal/>
    </border>
    <border>
      <left style="thin">
        <color rgb="FFCCCCCC"/>
      </left>
      <right style="thick">
        <color rgb="FF00B050"/>
      </right>
      <top style="thick">
        <color rgb="FF00B050"/>
      </top>
      <bottom style="thin">
        <color rgb="FFCCCCCC"/>
      </bottom>
      <diagonal/>
    </border>
    <border>
      <left style="thick">
        <color rgb="FF00B050"/>
      </left>
      <right/>
      <top style="thin">
        <color rgb="FFCCCCCC"/>
      </top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/>
      <diagonal/>
    </border>
    <border>
      <left style="thin">
        <color rgb="FFCCCCCC"/>
      </left>
      <right style="thick">
        <color rgb="FF00B050"/>
      </right>
      <top style="thin">
        <color rgb="FFCCCCCC"/>
      </top>
      <bottom style="thin">
        <color rgb="FFCCCCCC"/>
      </bottom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1" tint="0.34998626667073579"/>
      </left>
      <right/>
      <top style="thick">
        <color theme="1" tint="0.34998626667073579"/>
      </top>
      <bottom/>
      <diagonal/>
    </border>
    <border>
      <left/>
      <right/>
      <top style="thick">
        <color theme="1" tint="0.34998626667073579"/>
      </top>
      <bottom/>
      <diagonal/>
    </border>
    <border>
      <left/>
      <right style="thick">
        <color theme="1" tint="0.34998626667073579"/>
      </right>
      <top style="thick">
        <color theme="1" tint="0.34998626667073579"/>
      </top>
      <bottom/>
      <diagonal/>
    </border>
    <border>
      <left style="thick">
        <color theme="1" tint="0.34998626667073579"/>
      </left>
      <right/>
      <top/>
      <bottom/>
      <diagonal/>
    </border>
    <border>
      <left/>
      <right style="thick">
        <color theme="1" tint="0.34998626667073579"/>
      </right>
      <top/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ck">
        <color theme="1" tint="0.34998626667073579"/>
      </right>
      <top/>
      <bottom style="thick">
        <color theme="1" tint="0.34998626667073579"/>
      </bottom>
      <diagonal/>
    </border>
    <border>
      <left style="thin">
        <color rgb="FFCCCCCC"/>
      </left>
      <right style="thick">
        <color rgb="FF00B050"/>
      </right>
      <top style="thin">
        <color rgb="FFCCCCCC"/>
      </top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16" fontId="2" fillId="0" borderId="0" xfId="0" applyNumberFormat="1" applyFont="1"/>
    <xf numFmtId="14" fontId="0" fillId="0" borderId="0" xfId="0" applyNumberFormat="1"/>
    <xf numFmtId="0" fontId="4" fillId="0" borderId="0" xfId="0" applyFont="1"/>
    <xf numFmtId="16" fontId="3" fillId="0" borderId="0" xfId="0" applyNumberFormat="1" applyFo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7" fillId="0" borderId="0" xfId="0" applyFont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locked="0"/>
    </xf>
    <xf numFmtId="0" fontId="8" fillId="3" borderId="0" xfId="0" applyFont="1" applyFill="1" applyAlignment="1">
      <alignment horizontal="center"/>
    </xf>
    <xf numFmtId="0" fontId="5" fillId="2" borderId="0" xfId="0" applyFont="1" applyFill="1" applyAlignment="1">
      <alignment vertical="center"/>
    </xf>
    <xf numFmtId="16" fontId="9" fillId="0" borderId="0" xfId="0" applyNumberFormat="1" applyFont="1"/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Protection="1">
      <protection locked="0"/>
    </xf>
    <xf numFmtId="0" fontId="11" fillId="0" borderId="5" xfId="0" applyFont="1" applyBorder="1" applyAlignment="1" applyProtection="1">
      <alignment wrapText="1"/>
      <protection locked="0"/>
    </xf>
    <xf numFmtId="0" fontId="11" fillId="0" borderId="3" xfId="0" applyFont="1" applyBorder="1" applyAlignment="1" applyProtection="1">
      <alignment wrapText="1"/>
      <protection locked="0"/>
    </xf>
    <xf numFmtId="0" fontId="0" fillId="0" borderId="7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1" fillId="0" borderId="7" xfId="0" applyFont="1" applyBorder="1" applyAlignment="1" applyProtection="1">
      <alignment wrapText="1"/>
      <protection locked="0"/>
    </xf>
    <xf numFmtId="0" fontId="11" fillId="0" borderId="4" xfId="0" applyFont="1" applyBorder="1" applyAlignment="1" applyProtection="1">
      <alignment wrapText="1"/>
      <protection locked="0"/>
    </xf>
    <xf numFmtId="0" fontId="11" fillId="0" borderId="2" xfId="0" applyFont="1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15" fillId="0" borderId="13" xfId="0" applyFon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16" fillId="4" borderId="19" xfId="0" applyFont="1" applyFill="1" applyBorder="1" applyAlignment="1">
      <alignment horizontal="center" vertical="center"/>
    </xf>
    <xf numFmtId="0" fontId="0" fillId="0" borderId="22" xfId="0" applyBorder="1"/>
    <xf numFmtId="0" fontId="18" fillId="0" borderId="12" xfId="0" applyFont="1" applyBorder="1" applyAlignment="1">
      <alignment vertical="top" wrapText="1"/>
    </xf>
    <xf numFmtId="0" fontId="20" fillId="4" borderId="19" xfId="0" applyFont="1" applyFill="1" applyBorder="1" applyAlignment="1">
      <alignment horizontal="center" vertical="center"/>
    </xf>
    <xf numFmtId="0" fontId="18" fillId="0" borderId="0" xfId="0" applyFont="1" applyAlignment="1">
      <alignment vertical="top" wrapText="1"/>
    </xf>
    <xf numFmtId="0" fontId="21" fillId="0" borderId="0" xfId="0" applyFont="1"/>
    <xf numFmtId="0" fontId="22" fillId="0" borderId="0" xfId="0" applyFont="1"/>
    <xf numFmtId="0" fontId="22" fillId="0" borderId="27" xfId="0" applyFont="1" applyBorder="1"/>
    <xf numFmtId="0" fontId="22" fillId="0" borderId="26" xfId="0" applyFont="1" applyBorder="1"/>
    <xf numFmtId="0" fontId="22" fillId="0" borderId="28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4" fillId="0" borderId="32" xfId="0" applyFont="1" applyBorder="1"/>
    <xf numFmtId="0" fontId="0" fillId="0" borderId="32" xfId="0" applyBorder="1"/>
    <xf numFmtId="0" fontId="0" fillId="0" borderId="33" xfId="0" applyBorder="1"/>
    <xf numFmtId="2" fontId="23" fillId="5" borderId="23" xfId="0" applyNumberFormat="1" applyFont="1" applyFill="1" applyBorder="1"/>
    <xf numFmtId="0" fontId="23" fillId="5" borderId="24" xfId="0" applyFont="1" applyFill="1" applyBorder="1"/>
    <xf numFmtId="0" fontId="24" fillId="5" borderId="24" xfId="0" applyFont="1" applyFill="1" applyBorder="1"/>
    <xf numFmtId="0" fontId="23" fillId="5" borderId="25" xfId="0" applyFont="1" applyFill="1" applyBorder="1"/>
    <xf numFmtId="1" fontId="0" fillId="0" borderId="0" xfId="0" applyNumberFormat="1"/>
    <xf numFmtId="0" fontId="4" fillId="0" borderId="0" xfId="0" applyFont="1" applyProtection="1">
      <protection locked="0"/>
    </xf>
    <xf numFmtId="0" fontId="0" fillId="0" borderId="34" xfId="0" applyBorder="1"/>
    <xf numFmtId="0" fontId="22" fillId="0" borderId="35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0" xfId="0" applyAlignment="1" applyProtection="1">
      <alignment horizontal="center"/>
      <protection locked="0"/>
    </xf>
    <xf numFmtId="0" fontId="26" fillId="0" borderId="13" xfId="0" applyFont="1" applyBorder="1" applyAlignment="1">
      <alignment horizontal="left"/>
    </xf>
    <xf numFmtId="0" fontId="28" fillId="4" borderId="42" xfId="1" applyFont="1" applyFill="1" applyBorder="1" applyAlignment="1">
      <alignment horizontal="center" vertical="center"/>
    </xf>
    <xf numFmtId="14" fontId="29" fillId="0" borderId="0" xfId="0" applyNumberFormat="1" applyFont="1"/>
    <xf numFmtId="0" fontId="22" fillId="0" borderId="40" xfId="0" applyFont="1" applyBorder="1"/>
    <xf numFmtId="0" fontId="5" fillId="0" borderId="0" xfId="0" applyFont="1"/>
    <xf numFmtId="0" fontId="19" fillId="0" borderId="0" xfId="0" applyFont="1" applyAlignment="1">
      <alignment horizontal="center"/>
    </xf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vertical="top" wrapText="1"/>
    </xf>
    <xf numFmtId="0" fontId="18" fillId="0" borderId="11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20" xfId="0" applyFont="1" applyBorder="1" applyAlignment="1">
      <alignment vertical="top" wrapText="1"/>
    </xf>
    <xf numFmtId="0" fontId="18" fillId="0" borderId="21" xfId="0" applyFont="1" applyBorder="1" applyAlignment="1">
      <alignment vertical="top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7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4" fillId="0" borderId="11" xfId="0" applyFont="1" applyBorder="1" applyAlignment="1">
      <alignment vertical="top" wrapText="1"/>
    </xf>
    <xf numFmtId="0" fontId="14" fillId="0" borderId="18" xfId="0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20" xfId="0" applyFont="1" applyBorder="1" applyAlignment="1">
      <alignment vertical="top" wrapText="1"/>
    </xf>
    <xf numFmtId="0" fontId="14" fillId="0" borderId="21" xfId="0" applyFont="1" applyBorder="1" applyAlignment="1">
      <alignment vertical="top" wrapText="1"/>
    </xf>
    <xf numFmtId="0" fontId="0" fillId="0" borderId="27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0" fillId="0" borderId="33" xfId="0" applyBorder="1" applyProtection="1">
      <protection locked="0"/>
    </xf>
    <xf numFmtId="0" fontId="22" fillId="0" borderId="0" xfId="0" applyFont="1" applyProtection="1">
      <protection locked="0"/>
    </xf>
    <xf numFmtId="0" fontId="5" fillId="0" borderId="0" xfId="0" applyFont="1" applyBorder="1" applyProtection="1">
      <protection locked="0"/>
    </xf>
    <xf numFmtId="0" fontId="5" fillId="0" borderId="32" xfId="0" applyFont="1" applyBorder="1" applyProtection="1">
      <protection locked="0"/>
    </xf>
  </cellXfs>
  <cellStyles count="2">
    <cellStyle name="Hyperlink" xfId="1" builtinId="8"/>
    <cellStyle name="Normal" xfId="0" builtinId="0"/>
  </cellStyles>
  <dxfs count="61">
    <dxf>
      <numFmt numFmtId="19" formatCode="yyyy/mm/dd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yyyy/mm/dd"/>
    </dxf>
    <dxf>
      <fill>
        <patternFill>
          <bgColor rgb="FFFFC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numFmt numFmtId="19" formatCode="yyyy/mm/dd"/>
    </dxf>
    <dxf>
      <numFmt numFmtId="0" formatCode="General"/>
    </dxf>
    <dxf>
      <protection locked="1" hidden="0"/>
    </dxf>
    <dxf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numFmt numFmtId="1" formatCode="0"/>
      <protection locked="1" hidden="0"/>
    </dxf>
    <dxf>
      <border outline="0">
        <top style="thin">
          <color theme="9" tint="0.39997558519241921"/>
        </top>
      </border>
    </dxf>
    <dxf>
      <protection locked="1" hidden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theme="9"/>
          <bgColor theme="9"/>
        </patternFill>
      </fill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Combined'!A1"/><Relationship Id="rId2" Type="http://schemas.openxmlformats.org/officeDocument/2006/relationships/hyperlink" Target="#InsertOracle!A1"/><Relationship Id="rId1" Type="http://schemas.openxmlformats.org/officeDocument/2006/relationships/hyperlink" Target="#StartPage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tartPage!A1"/><Relationship Id="rId2" Type="http://schemas.openxmlformats.org/officeDocument/2006/relationships/hyperlink" Target="#InsertDrmis!A1"/><Relationship Id="rId1" Type="http://schemas.openxmlformats.org/officeDocument/2006/relationships/hyperlink" Target="#'Combined'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sertOracle!A1"/><Relationship Id="rId2" Type="http://schemas.openxmlformats.org/officeDocument/2006/relationships/hyperlink" Target="#InsertDrmis!A1"/><Relationship Id="rId1" Type="http://schemas.openxmlformats.org/officeDocument/2006/relationships/hyperlink" Target="#StartPag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4</xdr:row>
      <xdr:rowOff>53340</xdr:rowOff>
    </xdr:from>
    <xdr:to>
      <xdr:col>0</xdr:col>
      <xdr:colOff>1005840</xdr:colOff>
      <xdr:row>5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6EDC8FC-B363-EF71-C082-5CF1611D85B0}"/>
            </a:ext>
          </a:extLst>
        </xdr:cNvPr>
        <xdr:cNvSpPr/>
      </xdr:nvSpPr>
      <xdr:spPr>
        <a:xfrm>
          <a:off x="685800" y="716280"/>
          <a:ext cx="320040" cy="304800"/>
        </a:xfrm>
        <a:prstGeom prst="roundRect">
          <a:avLst>
            <a:gd name="adj" fmla="val 0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600"/>
            <a:t>1</a:t>
          </a:r>
        </a:p>
      </xdr:txBody>
    </xdr:sp>
    <xdr:clientData/>
  </xdr:twoCellAnchor>
  <xdr:twoCellAnchor>
    <xdr:from>
      <xdr:col>0</xdr:col>
      <xdr:colOff>693420</xdr:colOff>
      <xdr:row>12</xdr:row>
      <xdr:rowOff>45720</xdr:rowOff>
    </xdr:from>
    <xdr:to>
      <xdr:col>0</xdr:col>
      <xdr:colOff>1013460</xdr:colOff>
      <xdr:row>13</xdr:row>
      <xdr:rowOff>121920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D6FBA6A-3EE2-4EB5-B091-2505EF1A01C9}"/>
            </a:ext>
          </a:extLst>
        </xdr:cNvPr>
        <xdr:cNvSpPr/>
      </xdr:nvSpPr>
      <xdr:spPr>
        <a:xfrm>
          <a:off x="693420" y="1744980"/>
          <a:ext cx="320040" cy="304800"/>
        </a:xfrm>
        <a:prstGeom prst="roundRect">
          <a:avLst>
            <a:gd name="adj" fmla="val 0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600"/>
            <a:t>2</a:t>
          </a:r>
        </a:p>
      </xdr:txBody>
    </xdr:sp>
    <xdr:clientData/>
  </xdr:twoCellAnchor>
  <xdr:twoCellAnchor>
    <xdr:from>
      <xdr:col>0</xdr:col>
      <xdr:colOff>693420</xdr:colOff>
      <xdr:row>20</xdr:row>
      <xdr:rowOff>45720</xdr:rowOff>
    </xdr:from>
    <xdr:to>
      <xdr:col>0</xdr:col>
      <xdr:colOff>1013460</xdr:colOff>
      <xdr:row>21</xdr:row>
      <xdr:rowOff>121920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EF48C50-5D64-4C32-8F51-D8E201C38D63}"/>
            </a:ext>
          </a:extLst>
        </xdr:cNvPr>
        <xdr:cNvSpPr/>
      </xdr:nvSpPr>
      <xdr:spPr>
        <a:xfrm>
          <a:off x="693420" y="2781300"/>
          <a:ext cx="320040" cy="304800"/>
        </a:xfrm>
        <a:prstGeom prst="roundRect">
          <a:avLst>
            <a:gd name="adj" fmla="val 0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600"/>
            <a:t>3</a:t>
          </a:r>
        </a:p>
        <a:p>
          <a:pPr algn="l"/>
          <a:endParaRPr lang="en-CA" sz="1600"/>
        </a:p>
      </xdr:txBody>
    </xdr:sp>
    <xdr:clientData/>
  </xdr:twoCellAnchor>
  <xdr:twoCellAnchor>
    <xdr:from>
      <xdr:col>0</xdr:col>
      <xdr:colOff>693420</xdr:colOff>
      <xdr:row>28</xdr:row>
      <xdr:rowOff>45720</xdr:rowOff>
    </xdr:from>
    <xdr:to>
      <xdr:col>0</xdr:col>
      <xdr:colOff>1013460</xdr:colOff>
      <xdr:row>29</xdr:row>
      <xdr:rowOff>121920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81960A4-6B1B-44F9-8331-9DF2BEB500C0}"/>
            </a:ext>
          </a:extLst>
        </xdr:cNvPr>
        <xdr:cNvSpPr/>
      </xdr:nvSpPr>
      <xdr:spPr>
        <a:xfrm>
          <a:off x="693420" y="4122420"/>
          <a:ext cx="320040" cy="312420"/>
        </a:xfrm>
        <a:prstGeom prst="roundRect">
          <a:avLst>
            <a:gd name="adj" fmla="val 0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600"/>
            <a:t>4</a:t>
          </a:r>
        </a:p>
        <a:p>
          <a:pPr algn="l"/>
          <a:endParaRPr lang="en-CA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3</xdr:row>
      <xdr:rowOff>30480</xdr:rowOff>
    </xdr:from>
    <xdr:to>
      <xdr:col>12</xdr:col>
      <xdr:colOff>175260</xdr:colOff>
      <xdr:row>4</xdr:row>
      <xdr:rowOff>83820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44848E-69EA-47CD-A7FF-58E33C45529B}"/>
            </a:ext>
          </a:extLst>
        </xdr:cNvPr>
        <xdr:cNvSpPr/>
      </xdr:nvSpPr>
      <xdr:spPr>
        <a:xfrm>
          <a:off x="7421880" y="53340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START</a:t>
          </a:r>
          <a:r>
            <a:rPr lang="en-CA" sz="1100" baseline="0"/>
            <a:t> PAGE</a:t>
          </a:r>
          <a:endParaRPr lang="en-CA" sz="1100"/>
        </a:p>
      </xdr:txBody>
    </xdr:sp>
    <xdr:clientData/>
  </xdr:twoCellAnchor>
  <xdr:twoCellAnchor>
    <xdr:from>
      <xdr:col>10</xdr:col>
      <xdr:colOff>0</xdr:colOff>
      <xdr:row>5</xdr:row>
      <xdr:rowOff>0</xdr:rowOff>
    </xdr:from>
    <xdr:to>
      <xdr:col>12</xdr:col>
      <xdr:colOff>167640</xdr:colOff>
      <xdr:row>6</xdr:row>
      <xdr:rowOff>53340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8E2381E-FC75-4C31-8051-5815B2C84A3B}"/>
            </a:ext>
          </a:extLst>
        </xdr:cNvPr>
        <xdr:cNvSpPr/>
      </xdr:nvSpPr>
      <xdr:spPr>
        <a:xfrm>
          <a:off x="7414260" y="83820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INSERT</a:t>
          </a:r>
          <a:r>
            <a:rPr lang="en-CA" sz="1100" baseline="0"/>
            <a:t> DRMIS</a:t>
          </a:r>
          <a:endParaRPr lang="en-CA" sz="1100"/>
        </a:p>
      </xdr:txBody>
    </xdr:sp>
    <xdr:clientData/>
  </xdr:twoCellAnchor>
  <xdr:twoCellAnchor>
    <xdr:from>
      <xdr:col>10</xdr:col>
      <xdr:colOff>0</xdr:colOff>
      <xdr:row>7</xdr:row>
      <xdr:rowOff>0</xdr:rowOff>
    </xdr:from>
    <xdr:to>
      <xdr:col>12</xdr:col>
      <xdr:colOff>167640</xdr:colOff>
      <xdr:row>8</xdr:row>
      <xdr:rowOff>53340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D82252-85A5-436A-B5F2-7A5F72AB9276}"/>
            </a:ext>
          </a:extLst>
        </xdr:cNvPr>
        <xdr:cNvSpPr/>
      </xdr:nvSpPr>
      <xdr:spPr>
        <a:xfrm>
          <a:off x="7414260" y="117348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INSERT</a:t>
          </a:r>
          <a:r>
            <a:rPr lang="en-CA" sz="1100" baseline="0"/>
            <a:t> ORACLE</a:t>
          </a:r>
          <a:endParaRPr lang="en-CA" sz="1100"/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12</xdr:col>
      <xdr:colOff>167640</xdr:colOff>
      <xdr:row>10</xdr:row>
      <xdr:rowOff>53340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1AC184-4EAF-436F-B257-0F6C261F3BC5}"/>
            </a:ext>
          </a:extLst>
        </xdr:cNvPr>
        <xdr:cNvSpPr/>
      </xdr:nvSpPr>
      <xdr:spPr>
        <a:xfrm>
          <a:off x="7414260" y="150876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MISMATCHED</a:t>
          </a:r>
        </a:p>
      </xdr:txBody>
    </xdr:sp>
    <xdr:clientData/>
  </xdr:twoCellAnchor>
  <xdr:twoCellAnchor editAs="oneCell">
    <xdr:from>
      <xdr:col>10</xdr:col>
      <xdr:colOff>99060</xdr:colOff>
      <xdr:row>16</xdr:row>
      <xdr:rowOff>15240</xdr:rowOff>
    </xdr:from>
    <xdr:to>
      <xdr:col>10</xdr:col>
      <xdr:colOff>525780</xdr:colOff>
      <xdr:row>18</xdr:row>
      <xdr:rowOff>106680</xdr:rowOff>
    </xdr:to>
    <xdr:pic>
      <xdr:nvPicPr>
        <xdr:cNvPr id="7" name="Graphic 6" descr="Garbage with solid fill">
          <a:extLst>
            <a:ext uri="{FF2B5EF4-FFF2-40B4-BE49-F238E27FC236}">
              <a16:creationId xmlns:a16="http://schemas.microsoft.com/office/drawing/2014/main" id="{3A4AF7DA-057F-D46F-F970-56C41B95C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846820" y="2697480"/>
          <a:ext cx="426720" cy="426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6</xdr:row>
      <xdr:rowOff>182880</xdr:rowOff>
    </xdr:from>
    <xdr:to>
      <xdr:col>12</xdr:col>
      <xdr:colOff>160020</xdr:colOff>
      <xdr:row>8</xdr:row>
      <xdr:rowOff>7620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037F73E-6547-40D5-8A53-E43F7CA28447}"/>
            </a:ext>
          </a:extLst>
        </xdr:cNvPr>
        <xdr:cNvSpPr/>
      </xdr:nvSpPr>
      <xdr:spPr>
        <a:xfrm>
          <a:off x="9258300" y="150876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INSERT</a:t>
          </a:r>
          <a:r>
            <a:rPr lang="en-CA" sz="1100" baseline="0"/>
            <a:t> ORACLE</a:t>
          </a:r>
          <a:endParaRPr lang="en-CA" sz="1100"/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12</xdr:col>
      <xdr:colOff>167640</xdr:colOff>
      <xdr:row>10</xdr:row>
      <xdr:rowOff>22860</xdr:rowOff>
    </xdr:to>
    <xdr:sp macro="" textlink="">
      <xdr:nvSpPr>
        <xdr:cNvPr id="9" name="Rectangle: Rounded Corner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7964-62CC-417F-9BFE-F3C8F9ACB7E4}"/>
            </a:ext>
          </a:extLst>
        </xdr:cNvPr>
        <xdr:cNvSpPr/>
      </xdr:nvSpPr>
      <xdr:spPr>
        <a:xfrm>
          <a:off x="9265920" y="192024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MISMATCHED</a:t>
          </a:r>
        </a:p>
      </xdr:txBody>
    </xdr:sp>
    <xdr:clientData/>
  </xdr:twoCellAnchor>
  <xdr:twoCellAnchor>
    <xdr:from>
      <xdr:col>10</xdr:col>
      <xdr:colOff>0</xdr:colOff>
      <xdr:row>5</xdr:row>
      <xdr:rowOff>0</xdr:rowOff>
    </xdr:from>
    <xdr:to>
      <xdr:col>12</xdr:col>
      <xdr:colOff>167640</xdr:colOff>
      <xdr:row>6</xdr:row>
      <xdr:rowOff>22860</xdr:rowOff>
    </xdr:to>
    <xdr:sp macro="" textlink="">
      <xdr:nvSpPr>
        <xdr:cNvPr id="10" name="Rectangle: Rounded Corner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1C040B-C289-406C-A637-96271D76D79C}"/>
            </a:ext>
          </a:extLst>
        </xdr:cNvPr>
        <xdr:cNvSpPr/>
      </xdr:nvSpPr>
      <xdr:spPr>
        <a:xfrm>
          <a:off x="9265920" y="112776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INSERT</a:t>
          </a:r>
          <a:r>
            <a:rPr lang="en-CA" sz="1100" baseline="0"/>
            <a:t> DRMIS</a:t>
          </a:r>
          <a:endParaRPr lang="en-CA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167640</xdr:colOff>
      <xdr:row>4</xdr:row>
      <xdr:rowOff>22860</xdr:rowOff>
    </xdr:to>
    <xdr:sp macro="" textlink="">
      <xdr:nvSpPr>
        <xdr:cNvPr id="11" name="Rectangle: Rounded Corner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0CF252-B4CC-42F9-9D33-9E4D8DFB5F72}"/>
            </a:ext>
          </a:extLst>
        </xdr:cNvPr>
        <xdr:cNvSpPr/>
      </xdr:nvSpPr>
      <xdr:spPr>
        <a:xfrm>
          <a:off x="9265920" y="73152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baseline="0"/>
            <a:t>START PAGE</a:t>
          </a:r>
          <a:endParaRPr lang="en-CA" sz="1100"/>
        </a:p>
      </xdr:txBody>
    </xdr:sp>
    <xdr:clientData/>
  </xdr:twoCellAnchor>
  <xdr:twoCellAnchor editAs="oneCell">
    <xdr:from>
      <xdr:col>10</xdr:col>
      <xdr:colOff>99060</xdr:colOff>
      <xdr:row>14</xdr:row>
      <xdr:rowOff>15240</xdr:rowOff>
    </xdr:from>
    <xdr:to>
      <xdr:col>10</xdr:col>
      <xdr:colOff>525780</xdr:colOff>
      <xdr:row>16</xdr:row>
      <xdr:rowOff>30480</xdr:rowOff>
    </xdr:to>
    <xdr:pic>
      <xdr:nvPicPr>
        <xdr:cNvPr id="2" name="Graphic 1" descr="Garbage with solid fill">
          <a:extLst>
            <a:ext uri="{FF2B5EF4-FFF2-40B4-BE49-F238E27FC236}">
              <a16:creationId xmlns:a16="http://schemas.microsoft.com/office/drawing/2014/main" id="{763CBBB9-00DF-4562-A474-F90D5BC2C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846820" y="2727960"/>
          <a:ext cx="426720" cy="4267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0</xdr:rowOff>
    </xdr:from>
    <xdr:to>
      <xdr:col>9</xdr:col>
      <xdr:colOff>525780</xdr:colOff>
      <xdr:row>3</xdr:row>
      <xdr:rowOff>53340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E83FB-DCD3-46F5-96F4-6CCFEF8468E7}"/>
            </a:ext>
          </a:extLst>
        </xdr:cNvPr>
        <xdr:cNvSpPr/>
      </xdr:nvSpPr>
      <xdr:spPr>
        <a:xfrm>
          <a:off x="8420100" y="33528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START</a:t>
          </a:r>
          <a:r>
            <a:rPr lang="en-CA" sz="1100" baseline="0"/>
            <a:t> PAGE</a:t>
          </a:r>
          <a:endParaRPr lang="en-CA" sz="1100"/>
        </a:p>
      </xdr:txBody>
    </xdr:sp>
    <xdr:clientData/>
  </xdr:twoCellAnchor>
  <xdr:twoCellAnchor>
    <xdr:from>
      <xdr:col>8</xdr:col>
      <xdr:colOff>0</xdr:colOff>
      <xdr:row>3</xdr:row>
      <xdr:rowOff>137160</xdr:rowOff>
    </xdr:from>
    <xdr:to>
      <xdr:col>9</xdr:col>
      <xdr:colOff>518160</xdr:colOff>
      <xdr:row>5</xdr:row>
      <xdr:rowOff>22860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77706E-EA16-4DD2-B09D-36C76B9DCD3E}"/>
            </a:ext>
          </a:extLst>
        </xdr:cNvPr>
        <xdr:cNvSpPr/>
      </xdr:nvSpPr>
      <xdr:spPr>
        <a:xfrm>
          <a:off x="8412480" y="64008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INSERT</a:t>
          </a:r>
          <a:r>
            <a:rPr lang="en-CA" sz="1100" baseline="0"/>
            <a:t> DRMIS</a:t>
          </a:r>
          <a:endParaRPr lang="en-CA" sz="1100"/>
        </a:p>
      </xdr:txBody>
    </xdr:sp>
    <xdr:clientData/>
  </xdr:twoCellAnchor>
  <xdr:twoCellAnchor>
    <xdr:from>
      <xdr:col>8</xdr:col>
      <xdr:colOff>0</xdr:colOff>
      <xdr:row>5</xdr:row>
      <xdr:rowOff>137160</xdr:rowOff>
    </xdr:from>
    <xdr:to>
      <xdr:col>9</xdr:col>
      <xdr:colOff>518160</xdr:colOff>
      <xdr:row>7</xdr:row>
      <xdr:rowOff>22860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ACDDAE-6847-424E-BD95-6692B9CE9AA6}"/>
            </a:ext>
          </a:extLst>
        </xdr:cNvPr>
        <xdr:cNvSpPr/>
      </xdr:nvSpPr>
      <xdr:spPr>
        <a:xfrm>
          <a:off x="8412480" y="97536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INSERT</a:t>
          </a:r>
          <a:r>
            <a:rPr lang="en-CA" sz="1100" baseline="0"/>
            <a:t> ORACLE</a:t>
          </a:r>
          <a:endParaRPr lang="en-CA" sz="1100"/>
        </a:p>
      </xdr:txBody>
    </xdr:sp>
    <xdr:clientData/>
  </xdr:twoCellAnchor>
  <xdr:twoCellAnchor>
    <xdr:from>
      <xdr:col>8</xdr:col>
      <xdr:colOff>0</xdr:colOff>
      <xdr:row>7</xdr:row>
      <xdr:rowOff>137160</xdr:rowOff>
    </xdr:from>
    <xdr:to>
      <xdr:col>9</xdr:col>
      <xdr:colOff>518160</xdr:colOff>
      <xdr:row>9</xdr:row>
      <xdr:rowOff>22860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321F9B6-228A-4FB0-8D5F-B34B1BB7F5E9}"/>
            </a:ext>
          </a:extLst>
        </xdr:cNvPr>
        <xdr:cNvSpPr/>
      </xdr:nvSpPr>
      <xdr:spPr>
        <a:xfrm>
          <a:off x="8412480" y="1310640"/>
          <a:ext cx="1386840" cy="220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MISMATCHED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320040</xdr:colOff>
      <xdr:row>11</xdr:row>
      <xdr:rowOff>76200</xdr:rowOff>
    </xdr:from>
    <xdr:to>
      <xdr:col>9</xdr:col>
      <xdr:colOff>586740</xdr:colOff>
      <xdr:row>11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E1F6546-9A33-E8BC-5A0E-54A04BAFB777}"/>
            </a:ext>
          </a:extLst>
        </xdr:cNvPr>
        <xdr:cNvSpPr/>
      </xdr:nvSpPr>
      <xdr:spPr>
        <a:xfrm flipV="1">
          <a:off x="7208520" y="2072640"/>
          <a:ext cx="266700" cy="9906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9</xdr:col>
      <xdr:colOff>365760</xdr:colOff>
      <xdr:row>12</xdr:row>
      <xdr:rowOff>30480</xdr:rowOff>
    </xdr:from>
    <xdr:to>
      <xdr:col>9</xdr:col>
      <xdr:colOff>563880</xdr:colOff>
      <xdr:row>13</xdr:row>
      <xdr:rowOff>386</xdr:rowOff>
    </xdr:to>
    <xdr:pic>
      <xdr:nvPicPr>
        <xdr:cNvPr id="4" name="Graphic 3" descr="Pencil with solid fill">
          <a:extLst>
            <a:ext uri="{FF2B5EF4-FFF2-40B4-BE49-F238E27FC236}">
              <a16:creationId xmlns:a16="http://schemas.microsoft.com/office/drawing/2014/main" id="{FDC03020-7757-C21A-378A-FC230CBFC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254240" y="2232660"/>
          <a:ext cx="198120" cy="168026"/>
        </a:xfrm>
        <a:prstGeom prst="rect">
          <a:avLst/>
        </a:prstGeom>
      </xdr:spPr>
    </xdr:pic>
    <xdr:clientData/>
  </xdr:twoCellAnchor>
  <xdr:twoCellAnchor editAs="oneCell">
    <xdr:from>
      <xdr:col>9</xdr:col>
      <xdr:colOff>251460</xdr:colOff>
      <xdr:row>14</xdr:row>
      <xdr:rowOff>144780</xdr:rowOff>
    </xdr:from>
    <xdr:to>
      <xdr:col>10</xdr:col>
      <xdr:colOff>0</xdr:colOff>
      <xdr:row>16</xdr:row>
      <xdr:rowOff>137160</xdr:rowOff>
    </xdr:to>
    <xdr:pic>
      <xdr:nvPicPr>
        <xdr:cNvPr id="8" name="Graphic 7" descr="Envelope with solid fill">
          <a:extLst>
            <a:ext uri="{FF2B5EF4-FFF2-40B4-BE49-F238E27FC236}">
              <a16:creationId xmlns:a16="http://schemas.microsoft.com/office/drawing/2014/main" id="{0AE75F87-CD98-47BA-9E5D-7F96912B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39940" y="2712720"/>
          <a:ext cx="358140" cy="35814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14307CD9-F02D-44A9-9FFF-2E73243A123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ers No" tableColumnId="2"/>
      <queryTableField id="3" name="Oracle Leave Code" tableColumnId="3"/>
      <queryTableField id="4" name="Oracle Hours" tableColumnId="4"/>
      <queryTableField id="5" name="Drmis Leave Code" tableColumnId="5"/>
      <queryTableField id="6" name="Drmis Hour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3" xr16:uid="{F868F0F0-0020-43B5-A7A2-B44D22A167F4}" autoFormatId="16" applyNumberFormats="0" applyBorderFormats="0" applyFontFormats="0" applyPatternFormats="0" applyAlignmentFormats="0" applyWidthHeightFormats="0">
  <queryTableRefresh nextId="8">
    <queryTableFields count="7">
      <queryTableField id="1" name="Pers No" tableColumnId="1"/>
      <queryTableField id="2" name="Date" tableColumnId="2"/>
      <queryTableField id="3" name="Work Order" tableColumnId="3"/>
      <queryTableField id="4" name="Act" tableColumnId="4"/>
      <queryTableField id="5" name="AA Code" tableColumnId="5"/>
      <queryTableField id="6" name="Hours" tableColumnId="6"/>
      <queryTableField id="7" name="Discrepancy Reas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E927FD59-2D49-43F4-8735-8FC7D8C2A53A}" autoFormatId="16" applyNumberFormats="0" applyBorderFormats="0" applyFontFormats="0" applyPatternFormats="0" applyAlignmentFormats="0" applyWidthHeightFormats="0">
  <queryTableRefresh nextId="9">
    <queryTableFields count="4">
      <queryTableField id="5" name="Oracle Date" tableColumnId="5"/>
      <queryTableField id="6" name="Oracle Pers No" tableColumnId="6"/>
      <queryTableField id="7" name="Oracle Leave Code" tableColumnId="7"/>
      <queryTableField id="8" name="Oracle Hour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4" xr16:uid="{9C311DA5-4454-4E15-8162-811A136A7999}" autoFormatId="16" applyNumberFormats="0" applyBorderFormats="0" applyFontFormats="0" applyPatternFormats="0" applyAlignmentFormats="0" applyWidthHeightFormats="0">
  <queryTableRefresh nextId="13">
    <queryTableFields count="6">
      <queryTableField id="7" name="Drmis Date" tableColumnId="1"/>
      <queryTableField id="8" name="Drmis Name" tableColumnId="2"/>
      <queryTableField id="9" name="Drmis Pers No" tableColumnId="3"/>
      <queryTableField id="10" name="Drmis Leave Type" tableColumnId="4"/>
      <queryTableField id="11" name="Drmis Leave Code" tableColumnId="5"/>
      <queryTableField id="12" name="Drmis Hours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7E5BD7-5DB3-4FCE-B855-42D87589E066}" name="InsertDrmis" displayName="InsertDrmis" ref="A1:I33" totalsRowShown="0" dataDxfId="60">
  <autoFilter ref="A1:I33" xr:uid="{C57E5BD7-5DB3-4FCE-B855-42D87589E066}"/>
  <tableColumns count="9">
    <tableColumn id="1" xr3:uid="{793D708A-9DC7-44E3-A91F-FA414FB45744}" name="Pers.No." dataDxfId="59"/>
    <tableColumn id="2" xr3:uid="{4B157D7E-6B9C-4219-AE3B-9B9361519829}" name="Date" dataDxfId="58"/>
    <tableColumn id="3" xr3:uid="{B8DC9307-EF43-49D8-BC22-D5568E42227F}" name="Hours" dataDxfId="57"/>
    <tableColumn id="4" xr3:uid="{85C5352D-E6B9-494A-AA9B-8BE01DCD2C9E}" name="WkShortTxt" dataDxfId="56"/>
    <tableColumn id="5" xr3:uid="{56B059CE-B9A3-4AC1-BA68-F9BDE2223E3E}" name="Name" dataDxfId="55"/>
    <tableColumn id="6" xr3:uid="{F5BB1700-4404-459E-BE8D-5275EAED7085}" name="Send. CCtr" dataDxfId="54"/>
    <tableColumn id="7" xr3:uid="{F3EC3A3A-22D4-4857-9B52-55F6A4A31F7E}" name="A/AType" dataDxfId="53"/>
    <tableColumn id="8" xr3:uid="{D11F7A59-E3CF-4C52-851D-C6544D72FB5F}" name="A/A type text" dataDxfId="52"/>
    <tableColumn id="9" xr3:uid="{AADFA1DF-CF2A-4A2E-A1D0-05ADDA09DD4A}" name="Name2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C5B790-9C72-4539-9B84-2502DE76A0A3}" name="InsertOracle" displayName="InsertOracle" ref="A1:I29" totalsRowShown="0" headerRowDxfId="50" dataDxfId="49" tableBorderDxfId="48">
  <autoFilter ref="A1:I29" xr:uid="{28C5B790-9C72-4539-9B84-2502DE76A0A3}"/>
  <tableColumns count="9">
    <tableColumn id="1" xr3:uid="{AFD40E31-E3A9-49AB-8468-440FC1767BC7}" name="Leave Code" dataDxfId="47"/>
    <tableColumn id="2" xr3:uid="{CF60FF6B-6AE6-4230-AC57-7597BEB8275E}" name="Description" dataDxfId="46"/>
    <tableColumn id="3" xr3:uid="{54E1F103-3E9C-41E9-A8D2-0EAF8E97D761}" name="From Date" dataDxfId="45"/>
    <tableColumn id="4" xr3:uid="{F81595FF-DEB0-4660-A9DA-6BD76EC82041}" name="To Date" dataDxfId="44"/>
    <tableColumn id="5" xr3:uid="{0C7FE463-FE31-45A1-8B44-5826A5E8666E}" name="Hours Recorded" dataDxfId="43"/>
    <tableColumn id="6" xr3:uid="{B7207F11-E6C9-48BF-B6E6-42B0A58A1F61}" name="Transaction Date" dataDxfId="42"/>
    <tableColumn id="7" xr3:uid="{017E3885-28B5-405E-8EBE-CE689F9D6E6B}" name="Leave Status" dataDxfId="41"/>
    <tableColumn id="8" xr3:uid="{71033E3C-0C63-432D-A515-0B9D813DF771}" name="Supervisor" dataDxfId="40"/>
    <tableColumn id="9" xr3:uid="{0011E07D-7507-4805-A397-77981DABFAD9}" name="Adjustment Reason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656D3F-7FC1-40C7-AE83-60405ED8A950}" name="Combined" displayName="Combined" ref="A1:F14" tableType="queryTable" totalsRowShown="0" headerRowDxfId="38">
  <autoFilter ref="A1:F14" xr:uid="{7A656D3F-7FC1-40C7-AE83-60405ED8A950}"/>
  <tableColumns count="6">
    <tableColumn id="1" xr3:uid="{3AD74D18-49EC-47C7-B2D6-0108BFBAEA99}" uniqueName="1" name="Date" queryTableFieldId="1" dataDxfId="5"/>
    <tableColumn id="2" xr3:uid="{40938FA3-B283-4777-A08B-0986851B9627}" uniqueName="2" name="Pers No" queryTableFieldId="2" dataDxfId="37"/>
    <tableColumn id="3" xr3:uid="{28427933-AF98-4E04-88DD-63B9D115C042}" uniqueName="3" name="Oracle Leave Code" queryTableFieldId="3" dataDxfId="4"/>
    <tableColumn id="4" xr3:uid="{8981DFFA-AEF0-484F-AFCD-27215CC5EF21}" uniqueName="4" name="Oracle Hours" queryTableFieldId="4" dataDxfId="3"/>
    <tableColumn id="5" xr3:uid="{9B750297-D25E-4ABE-9465-BF86D4EF20B2}" uniqueName="5" name="Drmis Leave Code" queryTableFieldId="5" dataDxfId="2"/>
    <tableColumn id="6" xr3:uid="{BF9752E1-A61A-4F75-BA05-94F4CAB0A248}" uniqueName="6" name="Drmis Hours" queryTableFieldId="6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C4CB7D-A77B-4E71-A65A-9C0ECD01881B}" name="CombinedCats" displayName="CombinedCats" ref="AA7:AG20" tableType="queryTable" totalsRowShown="0" headerRowDxfId="36" dataDxfId="35">
  <autoFilter ref="AA7:AG20" xr:uid="{0BC4CB7D-A77B-4E71-A65A-9C0ECD01881B}"/>
  <tableColumns count="7">
    <tableColumn id="1" xr3:uid="{6A84A88C-A545-4043-BEFD-B5950A094740}" uniqueName="1" name="Pers No" queryTableFieldId="1" dataDxfId="34"/>
    <tableColumn id="2" xr3:uid="{DA4E0147-412C-4DD4-9AC3-85EB957F4C76}" uniqueName="2" name="Date" queryTableFieldId="2" dataDxfId="33"/>
    <tableColumn id="3" xr3:uid="{B9683827-6BD7-4626-BEBC-BD311AD22F30}" uniqueName="3" name="Work Order" queryTableFieldId="3" dataDxfId="32"/>
    <tableColumn id="4" xr3:uid="{79163975-FCD9-415A-9830-D2679FA7769B}" uniqueName="4" name="Act" queryTableFieldId="4" dataDxfId="31"/>
    <tableColumn id="5" xr3:uid="{602233CC-63A9-4075-A183-D8FAA6CD13AF}" uniqueName="5" name="AA Code" queryTableFieldId="5" dataDxfId="30"/>
    <tableColumn id="6" xr3:uid="{699A6267-00A7-444C-B4FE-F9460D131DE3}" uniqueName="6" name="Hours" queryTableFieldId="6" dataDxfId="29"/>
    <tableColumn id="7" xr3:uid="{D4530549-E9EE-4A23-8B73-8C9A5D21B913}" uniqueName="7" name="Discrepancy Reason" queryTableFieldId="7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297B56-2B98-4734-8125-5DE52B12675E}" name="CatsEdits" displayName="CatsEdits" ref="A7:H200" totalsRowShown="0" headerRowDxfId="27" dataDxfId="25" headerRowBorderDxfId="26" tableBorderDxfId="24">
  <autoFilter ref="A7:H200" xr:uid="{A4297B56-2B98-4734-8125-5DE52B12675E}"/>
  <tableColumns count="8">
    <tableColumn id="1" xr3:uid="{1E135638-68A1-4360-A432-6364FB6FD82B}" name="Pers No" dataDxfId="23">
      <calculatedColumnFormula array="1">IF(INDEX($AA:$AA, INT((ROW(A8)-8)/4)+8)="","",IF(MOD(ROW(A8)-8,4)=0, INDEX($AA:$AA, INT((ROW(A8)-8)/4)+8), ""))</calculatedColumnFormula>
    </tableColumn>
    <tableColumn id="2" xr3:uid="{6E62F5CD-683F-4FEC-9A28-6CFE5C6EF9CE}" name="Date" dataDxfId="22">
      <calculatedColumnFormula array="1">IF(INDEX($AB:$AB, INT((ROW(B8)-8)/4)+8)="","", IF(MOD(ROW(B8)-8,4)=0, INDEX($AB:$AB, INT((ROW(B8)-8)/4)+8), ""))</calculatedColumnFormula>
    </tableColumn>
    <tableColumn id="3" xr3:uid="{F1CA5CFB-428B-4291-8CB8-6C22B56A0911}" name="Work Order" dataDxfId="21"/>
    <tableColumn id="4" xr3:uid="{421EAE4C-153E-459C-8FA4-BD5D2130E97C}" name="Act" dataDxfId="20"/>
    <tableColumn id="5" xr3:uid="{12CC23AD-CAC5-47AE-969E-AE2F0DDB2340}" name="AA Code" dataDxfId="19">
      <calculatedColumnFormula array="1">IF(INDEX($AE:$AE, INT((ROW(E8)-8)/4)+8)="","", IF(MOD(ROW(E8)-8,4)=0, INDEX($AE:$AE, INT((ROW(E8)-8)/4)+8), IF(MOD(ROW(E8)-8,4)=3, "Total Hours", "")))</calculatedColumnFormula>
    </tableColumn>
    <tableColumn id="6" xr3:uid="{8E337F04-7288-4DDA-94AA-ADEEAD9DE107}" name="Hours" dataDxfId="18">
      <calculatedColumnFormula array="1">IF(INDEX($AF:$AF, INT((ROW(F8)-8)/4)+8)="","",
   IF(MOD(ROW(F8)-8,4)=0,
      INDEX($AF:$AF, INT((ROW(F8)-8)/4)+8),
      IF(MOD(ROW(F8)-8,4)=3,
         SUM(OFFSET(F8,-3,0,3,1)),
      "")
   )
)</calculatedColumnFormula>
    </tableColumn>
    <tableColumn id="7" xr3:uid="{EABAC346-9EEF-41E7-858D-51FD0FE3EBC6}" name="Discrepancy Reason" dataDxfId="17">
      <calculatedColumnFormula array="1">IF(INDEX($AG:$AG, INT((ROW(G8)-8)/4)+8)="","",
   IF(MOD(ROW(G8)-8,4)=0,
      INDEX($AG:$AG, INT((ROW(G8)-8)/4)+8),
      ""
   )
)</calculatedColumnFormula>
    </tableColumn>
    <tableColumn id="8" xr3:uid="{845D5B82-15C4-4EA2-9BE8-783FE9DC44CA}" name="GroupID" dataDxfId="16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28BB4F-15B7-42BB-B935-131E8DDD0DC9}" name="Oracle" displayName="Oracle" ref="A1:D32" tableType="queryTable" totalsRowShown="0">
  <autoFilter ref="A1:D32" xr:uid="{B028BB4F-15B7-42BB-B935-131E8DDD0DC9}"/>
  <tableColumns count="4">
    <tableColumn id="5" xr3:uid="{E8370933-ADC6-48F8-98E2-298CC2C6B700}" uniqueName="5" name="Oracle Date" queryTableFieldId="5"/>
    <tableColumn id="6" xr3:uid="{180089EF-31CC-4403-9507-80A2C83485DA}" uniqueName="6" name="Oracle Pers No" queryTableFieldId="6"/>
    <tableColumn id="7" xr3:uid="{2C714ACD-99C6-4028-8986-42142EFA442B}" uniqueName="7" name="Oracle Leave Code" queryTableFieldId="7"/>
    <tableColumn id="8" xr3:uid="{F11680DD-734B-4A42-80A2-FA81EDB4102D}" uniqueName="8" name="Oracle Hours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AB45E9-1C67-4016-97DC-CD81F7147954}" name="Drmis" displayName="Drmis" ref="A1:F22" tableType="queryTable" totalsRowShown="0">
  <autoFilter ref="A1:F22" xr:uid="{87AB45E9-1C67-4016-97DC-CD81F7147954}"/>
  <tableColumns count="6">
    <tableColumn id="1" xr3:uid="{525C12C6-289B-43CD-921B-3DD0AB689FBF}" uniqueName="1" name="Drmis Date" queryTableFieldId="7" dataDxfId="0"/>
    <tableColumn id="2" xr3:uid="{E77404B7-A1B9-4391-8ADF-2958B2AF4F5E}" uniqueName="2" name="Drmis Name" queryTableFieldId="8"/>
    <tableColumn id="3" xr3:uid="{6F64D4A7-C10A-47B1-B0E8-435291D99CFA}" uniqueName="3" name="Drmis Pers No" queryTableFieldId="9"/>
    <tableColumn id="4" xr3:uid="{17AA2895-EEB3-4F82-B109-41F479CB2A82}" uniqueName="4" name="Drmis Leave Type" queryTableFieldId="10"/>
    <tableColumn id="5" xr3:uid="{D15311B0-D329-4A96-A815-20D400179BBD}" uniqueName="5" name="Drmis Leave Code" queryTableFieldId="11" dataDxfId="15"/>
    <tableColumn id="6" xr3:uid="{DC9931A0-30F3-4235-8891-4F5D793A1B07}" uniqueName="6" name="Drmis Hours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9728FB-273D-4B64-AD14-05678F40C519}" name="Holidays" displayName="Holidays" ref="A1:B40" totalsRowShown="0">
  <autoFilter ref="A1:B40" xr:uid="{999728FB-273D-4B64-AD14-05678F40C519}"/>
  <tableColumns count="2">
    <tableColumn id="1" xr3:uid="{6E57F693-F8F1-4DA9-9C30-A7E4AE8DE59B}" name="HolidayDate" dataDxfId="14"/>
    <tableColumn id="2" xr3:uid="{B8EA28B6-739A-4CC7-8D2E-3F5C420A7FE9}" name="Holi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4653-7F4F-4B77-8379-A6D306D05011}">
  <dimension ref="B1:F38"/>
  <sheetViews>
    <sheetView topLeftCell="A14" workbookViewId="0">
      <selection activeCell="F31" sqref="F31"/>
    </sheetView>
  </sheetViews>
  <sheetFormatPr defaultRowHeight="13.2" x14ac:dyDescent="0.25"/>
  <cols>
    <col min="1" max="1" width="15.6640625" customWidth="1"/>
    <col min="2" max="6" width="30.6640625" customWidth="1"/>
    <col min="7" max="7" width="25.6640625" customWidth="1"/>
  </cols>
  <sheetData>
    <row r="1" spans="2:6" ht="23.4" x14ac:dyDescent="0.25">
      <c r="B1" s="81" t="s">
        <v>0</v>
      </c>
      <c r="C1" s="73"/>
      <c r="D1" s="73"/>
      <c r="E1" s="73"/>
      <c r="F1" s="73"/>
    </row>
    <row r="2" spans="2:6" ht="15.6" x14ac:dyDescent="0.25">
      <c r="B2" s="82" t="s">
        <v>1</v>
      </c>
      <c r="C2" s="73"/>
      <c r="D2" s="73"/>
      <c r="E2" s="73"/>
      <c r="F2" s="73"/>
    </row>
    <row r="3" spans="2:6" ht="15.6" x14ac:dyDescent="0.25">
      <c r="B3" s="74"/>
      <c r="C3" s="73"/>
      <c r="D3" s="73"/>
      <c r="E3" s="73"/>
      <c r="F3" s="73"/>
    </row>
    <row r="4" spans="2:6" ht="13.8" thickBot="1" x14ac:dyDescent="0.3"/>
    <row r="5" spans="2:6" ht="16.95" customHeight="1" thickTop="1" x14ac:dyDescent="0.35">
      <c r="B5" s="31" t="s">
        <v>2</v>
      </c>
      <c r="C5" s="32"/>
      <c r="D5" s="32"/>
      <c r="E5" s="32"/>
      <c r="F5" s="33"/>
    </row>
    <row r="6" spans="2:6" ht="16.95" customHeight="1" x14ac:dyDescent="0.25">
      <c r="B6" s="75" t="s">
        <v>3</v>
      </c>
      <c r="C6" s="76"/>
      <c r="D6" s="76"/>
      <c r="E6" s="76"/>
      <c r="F6" s="34"/>
    </row>
    <row r="7" spans="2:6" ht="16.95" customHeight="1" x14ac:dyDescent="0.25">
      <c r="B7" s="77"/>
      <c r="C7" s="78"/>
      <c r="D7" s="78"/>
      <c r="E7" s="78"/>
      <c r="F7" s="35"/>
    </row>
    <row r="8" spans="2:6" ht="16.95" customHeight="1" x14ac:dyDescent="0.25">
      <c r="B8" s="77"/>
      <c r="C8" s="78"/>
      <c r="D8" s="78"/>
      <c r="E8" s="78"/>
      <c r="F8" s="36" t="s">
        <v>4</v>
      </c>
    </row>
    <row r="9" spans="2:6" ht="16.95" customHeight="1" x14ac:dyDescent="0.25">
      <c r="B9" s="77"/>
      <c r="C9" s="78"/>
      <c r="D9" s="78"/>
      <c r="E9" s="78"/>
      <c r="F9" s="34"/>
    </row>
    <row r="10" spans="2:6" ht="16.95" customHeight="1" x14ac:dyDescent="0.25">
      <c r="B10" s="77"/>
      <c r="C10" s="78"/>
      <c r="D10" s="78"/>
      <c r="E10" s="78"/>
      <c r="F10" s="34"/>
    </row>
    <row r="11" spans="2:6" ht="16.95" customHeight="1" thickBot="1" x14ac:dyDescent="0.3">
      <c r="B11" s="79"/>
      <c r="C11" s="80"/>
      <c r="D11" s="80"/>
      <c r="E11" s="80"/>
      <c r="F11" s="37"/>
    </row>
    <row r="12" spans="2:6" ht="15.6" customHeight="1" thickTop="1" thickBot="1" x14ac:dyDescent="0.3">
      <c r="B12" s="38"/>
      <c r="C12" s="40"/>
      <c r="D12" s="40"/>
      <c r="E12" s="40"/>
    </row>
    <row r="13" spans="2:6" ht="18.600000000000001" thickTop="1" x14ac:dyDescent="0.35">
      <c r="B13" s="31" t="s">
        <v>5</v>
      </c>
      <c r="C13" s="32"/>
      <c r="D13" s="32"/>
      <c r="E13" s="32"/>
      <c r="F13" s="33"/>
    </row>
    <row r="14" spans="2:6" ht="16.95" customHeight="1" x14ac:dyDescent="0.25">
      <c r="B14" s="75" t="s">
        <v>6</v>
      </c>
      <c r="C14" s="76"/>
      <c r="D14" s="76"/>
      <c r="E14" s="76"/>
      <c r="F14" s="34"/>
    </row>
    <row r="15" spans="2:6" ht="16.95" customHeight="1" x14ac:dyDescent="0.25">
      <c r="B15" s="77"/>
      <c r="C15" s="78"/>
      <c r="D15" s="78"/>
      <c r="E15" s="78"/>
      <c r="F15" s="35"/>
    </row>
    <row r="16" spans="2:6" ht="16.95" customHeight="1" x14ac:dyDescent="0.25">
      <c r="B16" s="77"/>
      <c r="C16" s="78"/>
      <c r="D16" s="78"/>
      <c r="E16" s="78"/>
      <c r="F16" s="39" t="s">
        <v>7</v>
      </c>
    </row>
    <row r="17" spans="2:6" ht="16.95" customHeight="1" x14ac:dyDescent="0.25">
      <c r="B17" s="77"/>
      <c r="C17" s="78"/>
      <c r="D17" s="78"/>
      <c r="E17" s="78"/>
      <c r="F17" s="34"/>
    </row>
    <row r="18" spans="2:6" ht="16.95" customHeight="1" x14ac:dyDescent="0.25">
      <c r="B18" s="77"/>
      <c r="C18" s="78"/>
      <c r="D18" s="78"/>
      <c r="E18" s="78"/>
      <c r="F18" s="34"/>
    </row>
    <row r="19" spans="2:6" ht="16.95" customHeight="1" thickBot="1" x14ac:dyDescent="0.3">
      <c r="B19" s="79"/>
      <c r="C19" s="80"/>
      <c r="D19" s="80"/>
      <c r="E19" s="80"/>
      <c r="F19" s="37"/>
    </row>
    <row r="20" spans="2:6" ht="15.6" customHeight="1" thickTop="1" thickBot="1" x14ac:dyDescent="0.3">
      <c r="B20" s="38"/>
      <c r="C20" s="40"/>
      <c r="D20" s="40"/>
      <c r="E20" s="40"/>
    </row>
    <row r="21" spans="2:6" ht="18.600000000000001" thickTop="1" x14ac:dyDescent="0.35">
      <c r="B21" s="31" t="s">
        <v>8</v>
      </c>
      <c r="C21" s="32"/>
      <c r="D21" s="32"/>
      <c r="E21" s="32"/>
      <c r="F21" s="33"/>
    </row>
    <row r="22" spans="2:6" ht="16.2" customHeight="1" x14ac:dyDescent="0.25">
      <c r="B22" s="75" t="s">
        <v>9</v>
      </c>
      <c r="C22" s="85"/>
      <c r="D22" s="85"/>
      <c r="E22" s="85"/>
      <c r="F22" s="34"/>
    </row>
    <row r="23" spans="2:6" ht="15.6" x14ac:dyDescent="0.25">
      <c r="B23" s="86"/>
      <c r="C23" s="87"/>
      <c r="D23" s="87"/>
      <c r="E23" s="87"/>
      <c r="F23" s="39" t="s">
        <v>10</v>
      </c>
    </row>
    <row r="24" spans="2:6" x14ac:dyDescent="0.25">
      <c r="B24" s="86"/>
      <c r="C24" s="87"/>
      <c r="D24" s="87"/>
      <c r="E24" s="87"/>
      <c r="F24" s="34"/>
    </row>
    <row r="25" spans="2:6" ht="13.8" thickBot="1" x14ac:dyDescent="0.3">
      <c r="B25" s="88"/>
      <c r="C25" s="89"/>
      <c r="D25" s="89"/>
      <c r="E25" s="89"/>
      <c r="F25" s="37"/>
    </row>
    <row r="26" spans="2:6" ht="13.8" thickTop="1" x14ac:dyDescent="0.25"/>
    <row r="27" spans="2:6" ht="15.6" x14ac:dyDescent="0.3">
      <c r="B27" s="83" t="s">
        <v>185</v>
      </c>
      <c r="C27" s="84"/>
      <c r="D27" s="84"/>
      <c r="E27" s="84"/>
      <c r="F27" s="84"/>
    </row>
    <row r="28" spans="2:6" ht="13.8" thickBot="1" x14ac:dyDescent="0.3"/>
    <row r="29" spans="2:6" ht="18.600000000000001" thickTop="1" x14ac:dyDescent="0.35">
      <c r="B29" s="67" t="s">
        <v>182</v>
      </c>
      <c r="C29" s="32"/>
      <c r="D29" s="32"/>
      <c r="E29" s="32"/>
      <c r="F29" s="33"/>
    </row>
    <row r="30" spans="2:6" x14ac:dyDescent="0.25">
      <c r="B30" s="75" t="s">
        <v>184</v>
      </c>
      <c r="C30" s="85"/>
      <c r="D30" s="85"/>
      <c r="E30" s="85"/>
      <c r="F30" s="34"/>
    </row>
    <row r="31" spans="2:6" ht="15.6" x14ac:dyDescent="0.25">
      <c r="B31" s="86"/>
      <c r="C31" s="87"/>
      <c r="D31" s="87"/>
      <c r="E31" s="87"/>
      <c r="F31" s="68" t="s">
        <v>183</v>
      </c>
    </row>
    <row r="32" spans="2:6" x14ac:dyDescent="0.25">
      <c r="B32" s="86"/>
      <c r="C32" s="87"/>
      <c r="D32" s="87"/>
      <c r="E32" s="87"/>
      <c r="F32" s="34"/>
    </row>
    <row r="33" spans="2:6" x14ac:dyDescent="0.25">
      <c r="B33" s="86"/>
      <c r="C33" s="87"/>
      <c r="D33" s="87"/>
      <c r="E33" s="87"/>
      <c r="F33" s="34"/>
    </row>
    <row r="34" spans="2:6" x14ac:dyDescent="0.25">
      <c r="B34" s="86"/>
      <c r="C34" s="87"/>
      <c r="D34" s="87"/>
      <c r="E34" s="87"/>
      <c r="F34" s="34"/>
    </row>
    <row r="35" spans="2:6" ht="13.8" thickBot="1" x14ac:dyDescent="0.3">
      <c r="B35" s="88"/>
      <c r="C35" s="89"/>
      <c r="D35" s="89"/>
      <c r="E35" s="89"/>
      <c r="F35" s="37"/>
    </row>
    <row r="36" spans="2:6" ht="13.8" thickTop="1" x14ac:dyDescent="0.25"/>
    <row r="38" spans="2:6" ht="13.8" x14ac:dyDescent="0.3">
      <c r="B38" s="72" t="s">
        <v>11</v>
      </c>
      <c r="C38" s="73"/>
      <c r="D38" s="73"/>
      <c r="E38" s="73"/>
      <c r="F38" s="73"/>
    </row>
  </sheetData>
  <sheetProtection sheet="1" objects="1" scenarios="1"/>
  <mergeCells count="9">
    <mergeCell ref="B38:F38"/>
    <mergeCell ref="B3:F3"/>
    <mergeCell ref="B6:E11"/>
    <mergeCell ref="B14:E19"/>
    <mergeCell ref="B1:F1"/>
    <mergeCell ref="B2:F2"/>
    <mergeCell ref="B27:F27"/>
    <mergeCell ref="B22:E25"/>
    <mergeCell ref="B30:E35"/>
  </mergeCells>
  <hyperlinks>
    <hyperlink ref="F8" location="'InsertDrmis'!A1" display="Go to InsertDrmis Tab" xr:uid="{241B58A5-86D8-4E98-91AA-4E02713B6BFB}"/>
    <hyperlink ref="F23" location="'Combined'!A1" display="Refresh All &amp; Go to Combined Tab" xr:uid="{5ACCBC03-129A-4E65-8D33-CF7E6DE5E55C}"/>
    <hyperlink ref="F16" location="'InsertOracle'!A1" display="Go to InsertOracle Tab" xr:uid="{0825D942-8FB8-48E0-8EDF-AF47F681739D}"/>
    <hyperlink ref="F31" location="CatsEdits2!A1" display="Go to CATs Edits Tab" xr:uid="{7A6C1F4B-FB49-4153-9EFC-919DFD248FD1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1818-0BB6-4D6E-ABD2-3A2CEBBF9403}">
  <dimension ref="A1:N300"/>
  <sheetViews>
    <sheetView tabSelected="1" workbookViewId="0">
      <selection activeCell="K16" sqref="K15:N19"/>
    </sheetView>
  </sheetViews>
  <sheetFormatPr defaultRowHeight="13.2" x14ac:dyDescent="0.25"/>
  <cols>
    <col min="1" max="1" width="10.6640625" customWidth="1"/>
    <col min="2" max="2" width="10.77734375" customWidth="1"/>
    <col min="3" max="3" width="9.44140625" customWidth="1"/>
    <col min="4" max="4" width="13.6640625" customWidth="1"/>
    <col min="5" max="5" width="18.33203125" customWidth="1"/>
    <col min="6" max="6" width="12.88671875" customWidth="1"/>
    <col min="7" max="7" width="10.6640625" customWidth="1"/>
    <col min="8" max="8" width="22.77734375" customWidth="1"/>
    <col min="9" max="9" width="9.44140625" customWidth="1"/>
  </cols>
  <sheetData>
    <row r="1" spans="1:14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14" s="22" customFormat="1" x14ac:dyDescent="0.25"/>
    <row r="3" spans="1:14" s="22" customFormat="1" x14ac:dyDescent="0.25">
      <c r="A3" s="22">
        <v>24148</v>
      </c>
      <c r="B3" s="22" t="s">
        <v>21</v>
      </c>
      <c r="C3" s="22">
        <v>8</v>
      </c>
      <c r="E3" s="22" t="s">
        <v>22</v>
      </c>
      <c r="G3" s="22">
        <v>1110</v>
      </c>
      <c r="H3" s="22" t="s">
        <v>23</v>
      </c>
      <c r="I3" s="22" t="s">
        <v>24</v>
      </c>
    </row>
    <row r="4" spans="1:14" s="22" customFormat="1" x14ac:dyDescent="0.25">
      <c r="A4" s="22">
        <v>24148</v>
      </c>
      <c r="B4" s="22" t="s">
        <v>25</v>
      </c>
      <c r="C4" s="22">
        <v>3.75</v>
      </c>
      <c r="E4" s="22" t="s">
        <v>22</v>
      </c>
      <c r="G4" s="22">
        <v>1110</v>
      </c>
      <c r="H4" s="22" t="s">
        <v>23</v>
      </c>
      <c r="I4" s="22" t="s">
        <v>24</v>
      </c>
    </row>
    <row r="5" spans="1:14" s="22" customFormat="1" x14ac:dyDescent="0.25">
      <c r="A5" s="22">
        <v>24148</v>
      </c>
      <c r="B5" s="22" t="s">
        <v>26</v>
      </c>
      <c r="C5" s="22">
        <v>8</v>
      </c>
      <c r="E5" s="22" t="s">
        <v>22</v>
      </c>
      <c r="G5" s="22">
        <v>1110</v>
      </c>
      <c r="H5" s="22" t="s">
        <v>23</v>
      </c>
      <c r="I5" s="22" t="s">
        <v>24</v>
      </c>
    </row>
    <row r="6" spans="1:14" s="22" customFormat="1" x14ac:dyDescent="0.25">
      <c r="A6" s="22">
        <v>24148</v>
      </c>
      <c r="B6" s="22" t="s">
        <v>27</v>
      </c>
      <c r="C6" s="22">
        <v>8</v>
      </c>
      <c r="E6" s="22" t="s">
        <v>22</v>
      </c>
      <c r="G6" s="22">
        <v>1110</v>
      </c>
      <c r="H6" s="22" t="s">
        <v>23</v>
      </c>
      <c r="I6" s="22" t="s">
        <v>24</v>
      </c>
    </row>
    <row r="7" spans="1:14" s="22" customFormat="1" x14ac:dyDescent="0.25">
      <c r="A7" s="22">
        <v>24148</v>
      </c>
      <c r="B7" s="22" t="s">
        <v>28</v>
      </c>
      <c r="C7" s="22">
        <v>8</v>
      </c>
      <c r="E7" s="22" t="s">
        <v>22</v>
      </c>
      <c r="G7" s="22">
        <v>1110</v>
      </c>
      <c r="H7" s="22" t="s">
        <v>23</v>
      </c>
      <c r="I7" s="22" t="s">
        <v>24</v>
      </c>
    </row>
    <row r="8" spans="1:14" s="22" customFormat="1" x14ac:dyDescent="0.25">
      <c r="A8" s="22">
        <v>24148</v>
      </c>
      <c r="B8" s="22" t="s">
        <v>29</v>
      </c>
      <c r="C8" s="22">
        <v>8</v>
      </c>
      <c r="E8" s="22" t="s">
        <v>22</v>
      </c>
      <c r="G8" s="22">
        <v>1110</v>
      </c>
      <c r="H8" s="22" t="s">
        <v>23</v>
      </c>
      <c r="I8" s="22" t="s">
        <v>24</v>
      </c>
    </row>
    <row r="9" spans="1:14" s="22" customFormat="1" x14ac:dyDescent="0.25">
      <c r="A9" s="22">
        <v>24148</v>
      </c>
      <c r="B9" s="22" t="s">
        <v>30</v>
      </c>
      <c r="C9" s="22">
        <v>8</v>
      </c>
      <c r="E9" s="22" t="s">
        <v>22</v>
      </c>
      <c r="G9" s="22">
        <v>1110</v>
      </c>
      <c r="H9" s="22" t="s">
        <v>23</v>
      </c>
      <c r="I9" s="22" t="s">
        <v>24</v>
      </c>
    </row>
    <row r="10" spans="1:14" s="22" customFormat="1" x14ac:dyDescent="0.25">
      <c r="A10" s="22">
        <v>24148</v>
      </c>
      <c r="B10" s="22" t="s">
        <v>31</v>
      </c>
      <c r="C10" s="22">
        <v>8</v>
      </c>
      <c r="E10" s="22" t="s">
        <v>22</v>
      </c>
      <c r="G10" s="22">
        <v>1110</v>
      </c>
      <c r="H10" s="22" t="s">
        <v>23</v>
      </c>
      <c r="I10" s="22" t="s">
        <v>24</v>
      </c>
    </row>
    <row r="11" spans="1:14" s="22" customFormat="1" x14ac:dyDescent="0.25">
      <c r="A11" s="22">
        <v>24148</v>
      </c>
      <c r="B11" s="22" t="s">
        <v>32</v>
      </c>
      <c r="C11" s="22">
        <v>8</v>
      </c>
      <c r="E11" s="22" t="s">
        <v>22</v>
      </c>
      <c r="G11" s="22">
        <v>1110</v>
      </c>
      <c r="H11" s="22" t="s">
        <v>23</v>
      </c>
      <c r="I11" s="22" t="s">
        <v>24</v>
      </c>
    </row>
    <row r="12" spans="1:14" s="22" customFormat="1" x14ac:dyDescent="0.25">
      <c r="A12" s="22">
        <v>24148</v>
      </c>
      <c r="B12" s="22" t="s">
        <v>33</v>
      </c>
      <c r="C12" s="22">
        <v>8</v>
      </c>
      <c r="E12" s="22" t="s">
        <v>22</v>
      </c>
      <c r="G12" s="22">
        <v>1110</v>
      </c>
      <c r="H12" s="22" t="s">
        <v>23</v>
      </c>
      <c r="I12" s="22" t="s">
        <v>24</v>
      </c>
    </row>
    <row r="13" spans="1:14" s="22" customFormat="1" x14ac:dyDescent="0.25">
      <c r="A13" s="22">
        <v>24148</v>
      </c>
      <c r="B13" s="22" t="s">
        <v>34</v>
      </c>
      <c r="C13" s="22">
        <v>8</v>
      </c>
      <c r="E13" s="22" t="s">
        <v>22</v>
      </c>
      <c r="G13" s="22">
        <v>1110</v>
      </c>
      <c r="H13" s="22" t="s">
        <v>23</v>
      </c>
      <c r="I13" s="22" t="s">
        <v>24</v>
      </c>
    </row>
    <row r="14" spans="1:14" s="22" customFormat="1" x14ac:dyDescent="0.25">
      <c r="A14" s="22">
        <v>24148</v>
      </c>
      <c r="B14" s="22" t="s">
        <v>35</v>
      </c>
      <c r="C14" s="22">
        <v>8</v>
      </c>
      <c r="E14" s="22" t="s">
        <v>22</v>
      </c>
      <c r="G14" s="22">
        <v>1110</v>
      </c>
      <c r="H14" s="22" t="s">
        <v>23</v>
      </c>
      <c r="I14" s="22" t="s">
        <v>24</v>
      </c>
    </row>
    <row r="15" spans="1:14" s="22" customFormat="1" ht="15.6" x14ac:dyDescent="0.3">
      <c r="A15" s="22">
        <v>24148</v>
      </c>
      <c r="B15" s="22" t="s">
        <v>36</v>
      </c>
      <c r="C15" s="22">
        <v>8</v>
      </c>
      <c r="E15" s="22" t="s">
        <v>22</v>
      </c>
      <c r="G15" s="22">
        <v>1110</v>
      </c>
      <c r="H15" s="22" t="s">
        <v>23</v>
      </c>
      <c r="I15" s="22" t="s">
        <v>24</v>
      </c>
      <c r="K15" s="97" t="s">
        <v>188</v>
      </c>
    </row>
    <row r="16" spans="1:14" s="22" customFormat="1" x14ac:dyDescent="0.25">
      <c r="A16" s="22">
        <v>24148</v>
      </c>
      <c r="B16" s="22" t="s">
        <v>37</v>
      </c>
      <c r="C16" s="22">
        <v>8</v>
      </c>
      <c r="E16" s="22" t="s">
        <v>22</v>
      </c>
      <c r="G16" s="22">
        <v>1110</v>
      </c>
      <c r="H16" s="22" t="s">
        <v>23</v>
      </c>
      <c r="I16" s="22" t="s">
        <v>24</v>
      </c>
      <c r="K16" s="90"/>
      <c r="L16" s="91"/>
      <c r="M16" s="91"/>
      <c r="N16" s="92"/>
    </row>
    <row r="17" spans="1:14" s="22" customFormat="1" x14ac:dyDescent="0.25">
      <c r="A17" s="22">
        <v>24148</v>
      </c>
      <c r="B17" s="22" t="s">
        <v>38</v>
      </c>
      <c r="C17" s="22">
        <v>8</v>
      </c>
      <c r="E17" s="22" t="s">
        <v>22</v>
      </c>
      <c r="G17" s="22">
        <v>1110</v>
      </c>
      <c r="H17" s="22" t="s">
        <v>23</v>
      </c>
      <c r="I17" s="22" t="s">
        <v>24</v>
      </c>
      <c r="K17" s="93"/>
      <c r="L17" s="98" t="s">
        <v>189</v>
      </c>
      <c r="M17" s="98"/>
      <c r="N17" s="94"/>
    </row>
    <row r="18" spans="1:14" s="22" customFormat="1" x14ac:dyDescent="0.25">
      <c r="A18" s="22">
        <v>24148</v>
      </c>
      <c r="B18" s="22" t="s">
        <v>39</v>
      </c>
      <c r="C18" s="22">
        <v>8</v>
      </c>
      <c r="E18" s="22" t="s">
        <v>22</v>
      </c>
      <c r="G18" s="22">
        <v>1110</v>
      </c>
      <c r="H18" s="22" t="s">
        <v>23</v>
      </c>
      <c r="I18" s="22" t="s">
        <v>24</v>
      </c>
      <c r="K18" s="93"/>
      <c r="L18" s="98" t="s">
        <v>191</v>
      </c>
      <c r="M18" s="98"/>
      <c r="N18" s="94"/>
    </row>
    <row r="19" spans="1:14" s="22" customFormat="1" x14ac:dyDescent="0.25">
      <c r="C19" s="22">
        <v>123.75</v>
      </c>
      <c r="H19" s="22" t="s">
        <v>23</v>
      </c>
      <c r="K19" s="95"/>
      <c r="L19" s="99" t="s">
        <v>190</v>
      </c>
      <c r="M19" s="99"/>
      <c r="N19" s="96"/>
    </row>
    <row r="20" spans="1:14" s="22" customFormat="1" x14ac:dyDescent="0.25">
      <c r="A20" s="22">
        <v>24148</v>
      </c>
      <c r="B20" s="22" t="s">
        <v>40</v>
      </c>
      <c r="C20" s="22">
        <v>8</v>
      </c>
      <c r="E20" s="22" t="s">
        <v>22</v>
      </c>
      <c r="G20" s="22">
        <v>1810</v>
      </c>
      <c r="H20" s="22" t="s">
        <v>41</v>
      </c>
      <c r="I20" s="22" t="s">
        <v>24</v>
      </c>
    </row>
    <row r="21" spans="1:14" s="22" customFormat="1" x14ac:dyDescent="0.25">
      <c r="A21" s="22">
        <v>24148</v>
      </c>
      <c r="B21" s="22" t="s">
        <v>42</v>
      </c>
      <c r="C21" s="22">
        <v>8</v>
      </c>
      <c r="E21" s="22" t="s">
        <v>22</v>
      </c>
      <c r="G21" s="22">
        <v>1810</v>
      </c>
      <c r="H21" s="22" t="s">
        <v>41</v>
      </c>
      <c r="I21" s="22" t="s">
        <v>24</v>
      </c>
    </row>
    <row r="22" spans="1:14" s="22" customFormat="1" x14ac:dyDescent="0.25">
      <c r="A22" s="22">
        <v>24148</v>
      </c>
      <c r="B22" s="22" t="s">
        <v>43</v>
      </c>
      <c r="C22" s="22">
        <v>4.25</v>
      </c>
      <c r="E22" s="22" t="s">
        <v>22</v>
      </c>
      <c r="G22" s="22">
        <v>1810</v>
      </c>
      <c r="H22" s="22" t="s">
        <v>41</v>
      </c>
      <c r="I22" s="22" t="s">
        <v>24</v>
      </c>
    </row>
    <row r="23" spans="1:14" s="22" customFormat="1" x14ac:dyDescent="0.25">
      <c r="A23" s="22">
        <v>24148</v>
      </c>
      <c r="B23" s="22" t="s">
        <v>44</v>
      </c>
      <c r="C23" s="22">
        <v>1.25</v>
      </c>
      <c r="E23" s="22" t="s">
        <v>22</v>
      </c>
      <c r="G23" s="22">
        <v>1810</v>
      </c>
      <c r="H23" s="22" t="s">
        <v>41</v>
      </c>
      <c r="I23" s="22" t="s">
        <v>24</v>
      </c>
    </row>
    <row r="24" spans="1:14" s="22" customFormat="1" x14ac:dyDescent="0.25">
      <c r="C24" s="22">
        <v>21.5</v>
      </c>
      <c r="H24" s="22" t="s">
        <v>41</v>
      </c>
    </row>
    <row r="25" spans="1:14" s="22" customFormat="1" x14ac:dyDescent="0.25">
      <c r="A25" s="22">
        <v>24148</v>
      </c>
      <c r="B25" s="22" t="s">
        <v>45</v>
      </c>
      <c r="C25" s="22">
        <v>8</v>
      </c>
      <c r="E25" s="22" t="s">
        <v>22</v>
      </c>
      <c r="G25" s="22">
        <v>1210</v>
      </c>
      <c r="H25" s="22" t="s">
        <v>46</v>
      </c>
      <c r="I25" s="22" t="s">
        <v>24</v>
      </c>
    </row>
    <row r="26" spans="1:14" s="22" customFormat="1" x14ac:dyDescent="0.25">
      <c r="C26" s="22">
        <v>8</v>
      </c>
      <c r="H26" s="22" t="s">
        <v>46</v>
      </c>
    </row>
    <row r="27" spans="1:14" s="22" customFormat="1" x14ac:dyDescent="0.25">
      <c r="A27" s="22">
        <v>24148</v>
      </c>
      <c r="B27" s="22" t="s">
        <v>47</v>
      </c>
      <c r="C27" s="22">
        <v>8</v>
      </c>
      <c r="D27" s="22" t="s">
        <v>48</v>
      </c>
      <c r="E27" s="22" t="s">
        <v>22</v>
      </c>
      <c r="F27" s="22" t="s">
        <v>49</v>
      </c>
      <c r="G27" s="22">
        <v>3010</v>
      </c>
      <c r="H27" s="22" t="s">
        <v>50</v>
      </c>
      <c r="I27" s="22" t="s">
        <v>24</v>
      </c>
    </row>
    <row r="28" spans="1:14" s="22" customFormat="1" x14ac:dyDescent="0.25">
      <c r="C28" s="22">
        <v>8</v>
      </c>
      <c r="H28" s="22" t="s">
        <v>50</v>
      </c>
    </row>
    <row r="29" spans="1:14" s="22" customFormat="1" x14ac:dyDescent="0.25">
      <c r="A29" s="22">
        <v>24148</v>
      </c>
      <c r="B29" s="22" t="s">
        <v>51</v>
      </c>
      <c r="C29" s="22">
        <v>8</v>
      </c>
      <c r="D29" s="22" t="s">
        <v>52</v>
      </c>
      <c r="E29" s="22" t="s">
        <v>22</v>
      </c>
      <c r="F29" s="22" t="s">
        <v>49</v>
      </c>
      <c r="G29" s="22">
        <v>3030</v>
      </c>
      <c r="H29" s="22" t="s">
        <v>53</v>
      </c>
      <c r="I29" s="22" t="s">
        <v>24</v>
      </c>
    </row>
    <row r="30" spans="1:14" s="22" customFormat="1" x14ac:dyDescent="0.25">
      <c r="A30" s="22">
        <v>24148</v>
      </c>
      <c r="B30" s="22" t="s">
        <v>54</v>
      </c>
      <c r="C30" s="22">
        <v>4.25</v>
      </c>
      <c r="D30" s="22" t="s">
        <v>52</v>
      </c>
      <c r="E30" s="22" t="s">
        <v>22</v>
      </c>
      <c r="F30" s="22" t="s">
        <v>49</v>
      </c>
      <c r="G30" s="22">
        <v>3030</v>
      </c>
      <c r="H30" s="22" t="s">
        <v>53</v>
      </c>
      <c r="I30" s="22" t="s">
        <v>24</v>
      </c>
    </row>
    <row r="31" spans="1:14" s="22" customFormat="1" x14ac:dyDescent="0.25">
      <c r="C31" s="22">
        <v>12.25</v>
      </c>
      <c r="H31" s="22" t="s">
        <v>53</v>
      </c>
    </row>
    <row r="32" spans="1:14" s="22" customFormat="1" x14ac:dyDescent="0.25"/>
    <row r="33" s="22" customFormat="1" x14ac:dyDescent="0.25"/>
    <row r="34" s="22" customFormat="1" x14ac:dyDescent="0.25"/>
    <row r="35" s="22" customFormat="1" x14ac:dyDescent="0.25"/>
    <row r="36" s="22" customFormat="1" x14ac:dyDescent="0.25"/>
    <row r="37" s="22" customFormat="1" x14ac:dyDescent="0.25"/>
    <row r="38" s="22" customFormat="1" x14ac:dyDescent="0.25"/>
    <row r="39" s="22" customFormat="1" x14ac:dyDescent="0.25"/>
    <row r="40" s="22" customFormat="1" x14ac:dyDescent="0.25"/>
    <row r="41" s="22" customFormat="1" x14ac:dyDescent="0.25"/>
    <row r="42" s="22" customFormat="1" x14ac:dyDescent="0.25"/>
    <row r="43" s="22" customFormat="1" x14ac:dyDescent="0.25"/>
    <row r="44" s="22" customFormat="1" x14ac:dyDescent="0.25"/>
    <row r="45" s="22" customFormat="1" x14ac:dyDescent="0.25"/>
    <row r="46" s="22" customFormat="1" x14ac:dyDescent="0.25"/>
    <row r="47" s="22" customFormat="1" x14ac:dyDescent="0.25"/>
    <row r="48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="22" customFormat="1" x14ac:dyDescent="0.25"/>
    <row r="98" s="22" customFormat="1" x14ac:dyDescent="0.25"/>
    <row r="99" s="22" customFormat="1" x14ac:dyDescent="0.25"/>
    <row r="100" s="22" customFormat="1" x14ac:dyDescent="0.25"/>
    <row r="101" s="22" customFormat="1" x14ac:dyDescent="0.25"/>
    <row r="102" s="22" customFormat="1" x14ac:dyDescent="0.25"/>
    <row r="103" s="22" customFormat="1" x14ac:dyDescent="0.25"/>
    <row r="104" s="22" customFormat="1" x14ac:dyDescent="0.25"/>
    <row r="105" s="22" customFormat="1" x14ac:dyDescent="0.25"/>
    <row r="106" s="22" customFormat="1" x14ac:dyDescent="0.25"/>
    <row r="107" s="22" customFormat="1" x14ac:dyDescent="0.25"/>
    <row r="108" s="22" customFormat="1" x14ac:dyDescent="0.25"/>
    <row r="109" s="22" customFormat="1" x14ac:dyDescent="0.25"/>
    <row r="110" s="22" customFormat="1" x14ac:dyDescent="0.25"/>
    <row r="111" s="22" customFormat="1" x14ac:dyDescent="0.25"/>
    <row r="112" s="22" customFormat="1" x14ac:dyDescent="0.25"/>
    <row r="113" s="22" customFormat="1" x14ac:dyDescent="0.25"/>
    <row r="114" s="22" customFormat="1" x14ac:dyDescent="0.25"/>
    <row r="115" s="22" customFormat="1" x14ac:dyDescent="0.25"/>
    <row r="116" s="22" customFormat="1" x14ac:dyDescent="0.25"/>
    <row r="117" s="22" customFormat="1" x14ac:dyDescent="0.25"/>
    <row r="118" s="22" customFormat="1" x14ac:dyDescent="0.25"/>
    <row r="119" s="22" customFormat="1" x14ac:dyDescent="0.25"/>
    <row r="120" s="22" customFormat="1" x14ac:dyDescent="0.25"/>
    <row r="121" s="22" customFormat="1" x14ac:dyDescent="0.25"/>
    <row r="122" s="22" customFormat="1" x14ac:dyDescent="0.25"/>
    <row r="123" s="22" customFormat="1" x14ac:dyDescent="0.25"/>
    <row r="124" s="22" customFormat="1" x14ac:dyDescent="0.25"/>
    <row r="125" s="22" customFormat="1" x14ac:dyDescent="0.25"/>
    <row r="126" s="22" customFormat="1" x14ac:dyDescent="0.25"/>
    <row r="127" s="22" customFormat="1" x14ac:dyDescent="0.25"/>
    <row r="128" s="22" customFormat="1" x14ac:dyDescent="0.25"/>
    <row r="129" s="22" customFormat="1" x14ac:dyDescent="0.25"/>
    <row r="130" s="22" customFormat="1" x14ac:dyDescent="0.25"/>
    <row r="131" s="22" customFormat="1" x14ac:dyDescent="0.25"/>
    <row r="132" s="22" customFormat="1" x14ac:dyDescent="0.25"/>
    <row r="133" s="22" customFormat="1" x14ac:dyDescent="0.25"/>
    <row r="134" s="22" customFormat="1" x14ac:dyDescent="0.25"/>
    <row r="135" s="22" customFormat="1" x14ac:dyDescent="0.25"/>
    <row r="136" s="22" customFormat="1" x14ac:dyDescent="0.25"/>
    <row r="137" s="22" customFormat="1" x14ac:dyDescent="0.25"/>
    <row r="138" s="22" customFormat="1" x14ac:dyDescent="0.25"/>
    <row r="139" s="22" customFormat="1" x14ac:dyDescent="0.25"/>
    <row r="140" s="22" customFormat="1" x14ac:dyDescent="0.25"/>
    <row r="141" s="22" customFormat="1" x14ac:dyDescent="0.25"/>
    <row r="142" s="22" customFormat="1" x14ac:dyDescent="0.25"/>
    <row r="143" s="22" customFormat="1" x14ac:dyDescent="0.25"/>
    <row r="144" s="22" customFormat="1" x14ac:dyDescent="0.25"/>
    <row r="145" s="22" customFormat="1" x14ac:dyDescent="0.25"/>
    <row r="146" s="22" customFormat="1" x14ac:dyDescent="0.25"/>
    <row r="147" s="22" customFormat="1" x14ac:dyDescent="0.25"/>
    <row r="148" s="22" customFormat="1" x14ac:dyDescent="0.25"/>
    <row r="149" s="22" customFormat="1" x14ac:dyDescent="0.25"/>
    <row r="150" s="22" customFormat="1" x14ac:dyDescent="0.25"/>
    <row r="151" s="22" customFormat="1" x14ac:dyDescent="0.25"/>
    <row r="152" s="22" customFormat="1" x14ac:dyDescent="0.25"/>
    <row r="153" s="22" customFormat="1" x14ac:dyDescent="0.25"/>
    <row r="154" s="22" customFormat="1" x14ac:dyDescent="0.25"/>
    <row r="155" s="22" customFormat="1" x14ac:dyDescent="0.25"/>
    <row r="156" s="22" customFormat="1" x14ac:dyDescent="0.25"/>
    <row r="157" s="22" customFormat="1" x14ac:dyDescent="0.25"/>
    <row r="158" s="22" customFormat="1" x14ac:dyDescent="0.25"/>
    <row r="159" s="22" customFormat="1" x14ac:dyDescent="0.25"/>
    <row r="160" s="22" customFormat="1" x14ac:dyDescent="0.25"/>
    <row r="161" s="22" customFormat="1" x14ac:dyDescent="0.25"/>
    <row r="162" s="22" customFormat="1" x14ac:dyDescent="0.25"/>
    <row r="163" s="22" customFormat="1" x14ac:dyDescent="0.25"/>
    <row r="164" s="22" customFormat="1" x14ac:dyDescent="0.25"/>
    <row r="165" s="22" customFormat="1" x14ac:dyDescent="0.25"/>
    <row r="166" s="22" customFormat="1" x14ac:dyDescent="0.25"/>
    <row r="167" s="22" customFormat="1" x14ac:dyDescent="0.25"/>
    <row r="168" s="22" customFormat="1" x14ac:dyDescent="0.25"/>
    <row r="169" s="22" customFormat="1" x14ac:dyDescent="0.25"/>
    <row r="170" s="22" customFormat="1" x14ac:dyDescent="0.25"/>
    <row r="171" s="22" customFormat="1" x14ac:dyDescent="0.25"/>
    <row r="172" s="22" customFormat="1" x14ac:dyDescent="0.25"/>
    <row r="173" s="22" customFormat="1" x14ac:dyDescent="0.25"/>
    <row r="174" s="22" customFormat="1" x14ac:dyDescent="0.25"/>
    <row r="175" s="22" customFormat="1" x14ac:dyDescent="0.25"/>
    <row r="176" s="22" customFormat="1" x14ac:dyDescent="0.25"/>
    <row r="177" s="22" customFormat="1" x14ac:dyDescent="0.25"/>
    <row r="178" s="22" customFormat="1" x14ac:dyDescent="0.25"/>
    <row r="179" s="22" customFormat="1" x14ac:dyDescent="0.25"/>
    <row r="180" s="22" customFormat="1" x14ac:dyDescent="0.25"/>
    <row r="181" s="22" customFormat="1" x14ac:dyDescent="0.25"/>
    <row r="182" s="22" customFormat="1" x14ac:dyDescent="0.25"/>
    <row r="183" s="22" customFormat="1" x14ac:dyDescent="0.25"/>
    <row r="184" s="22" customFormat="1" x14ac:dyDescent="0.25"/>
    <row r="185" s="22" customFormat="1" x14ac:dyDescent="0.25"/>
    <row r="186" s="22" customFormat="1" x14ac:dyDescent="0.25"/>
    <row r="187" s="22" customFormat="1" x14ac:dyDescent="0.25"/>
    <row r="188" s="22" customFormat="1" x14ac:dyDescent="0.25"/>
    <row r="189" s="22" customFormat="1" x14ac:dyDescent="0.25"/>
    <row r="190" s="22" customFormat="1" x14ac:dyDescent="0.25"/>
    <row r="191" s="22" customFormat="1" x14ac:dyDescent="0.25"/>
    <row r="192" s="22" customFormat="1" x14ac:dyDescent="0.25"/>
    <row r="193" s="22" customFormat="1" x14ac:dyDescent="0.25"/>
    <row r="194" s="22" customFormat="1" x14ac:dyDescent="0.25"/>
    <row r="195" s="22" customFormat="1" x14ac:dyDescent="0.25"/>
    <row r="196" s="22" customFormat="1" x14ac:dyDescent="0.25"/>
    <row r="197" s="22" customFormat="1" x14ac:dyDescent="0.25"/>
    <row r="198" s="22" customFormat="1" x14ac:dyDescent="0.25"/>
    <row r="199" s="22" customFormat="1" x14ac:dyDescent="0.25"/>
    <row r="200" s="22" customFormat="1" x14ac:dyDescent="0.25"/>
    <row r="201" s="22" customFormat="1" x14ac:dyDescent="0.25"/>
    <row r="202" s="22" customFormat="1" x14ac:dyDescent="0.25"/>
    <row r="203" s="22" customFormat="1" x14ac:dyDescent="0.25"/>
    <row r="204" s="22" customFormat="1" x14ac:dyDescent="0.25"/>
    <row r="205" s="22" customFormat="1" x14ac:dyDescent="0.25"/>
    <row r="206" s="22" customFormat="1" x14ac:dyDescent="0.25"/>
    <row r="207" s="22" customFormat="1" x14ac:dyDescent="0.25"/>
    <row r="208" s="22" customFormat="1" x14ac:dyDescent="0.25"/>
    <row r="209" s="22" customFormat="1" x14ac:dyDescent="0.25"/>
    <row r="210" s="22" customFormat="1" x14ac:dyDescent="0.25"/>
    <row r="211" s="22" customFormat="1" x14ac:dyDescent="0.25"/>
    <row r="212" s="22" customFormat="1" x14ac:dyDescent="0.25"/>
    <row r="213" s="22" customFormat="1" x14ac:dyDescent="0.25"/>
    <row r="214" s="22" customFormat="1" x14ac:dyDescent="0.25"/>
    <row r="215" s="22" customFormat="1" x14ac:dyDescent="0.25"/>
    <row r="216" s="22" customFormat="1" x14ac:dyDescent="0.25"/>
    <row r="217" s="22" customFormat="1" x14ac:dyDescent="0.25"/>
    <row r="218" s="22" customFormat="1" x14ac:dyDescent="0.25"/>
    <row r="219" s="22" customFormat="1" x14ac:dyDescent="0.25"/>
    <row r="220" s="22" customFormat="1" x14ac:dyDescent="0.25"/>
    <row r="221" s="22" customFormat="1" x14ac:dyDescent="0.25"/>
    <row r="222" s="22" customFormat="1" x14ac:dyDescent="0.25"/>
    <row r="223" s="22" customFormat="1" x14ac:dyDescent="0.25"/>
    <row r="224" s="22" customFormat="1" x14ac:dyDescent="0.25"/>
    <row r="225" s="22" customFormat="1" x14ac:dyDescent="0.25"/>
    <row r="226" s="22" customFormat="1" x14ac:dyDescent="0.25"/>
    <row r="227" s="22" customFormat="1" x14ac:dyDescent="0.25"/>
    <row r="228" s="22" customFormat="1" x14ac:dyDescent="0.25"/>
    <row r="229" s="22" customFormat="1" x14ac:dyDescent="0.25"/>
    <row r="230" s="22" customFormat="1" x14ac:dyDescent="0.25"/>
    <row r="231" s="22" customFormat="1" x14ac:dyDescent="0.25"/>
    <row r="232" s="22" customFormat="1" x14ac:dyDescent="0.25"/>
    <row r="233" s="22" customFormat="1" x14ac:dyDescent="0.25"/>
    <row r="234" s="22" customFormat="1" x14ac:dyDescent="0.25"/>
    <row r="235" s="22" customFormat="1" x14ac:dyDescent="0.25"/>
    <row r="236" s="22" customFormat="1" x14ac:dyDescent="0.25"/>
    <row r="237" s="22" customFormat="1" x14ac:dyDescent="0.25"/>
    <row r="238" s="22" customFormat="1" x14ac:dyDescent="0.25"/>
    <row r="239" s="22" customFormat="1" x14ac:dyDescent="0.25"/>
    <row r="240" s="22" customFormat="1" x14ac:dyDescent="0.25"/>
    <row r="241" s="22" customFormat="1" x14ac:dyDescent="0.25"/>
    <row r="242" s="22" customFormat="1" x14ac:dyDescent="0.25"/>
    <row r="243" s="22" customFormat="1" x14ac:dyDescent="0.25"/>
    <row r="244" s="22" customFormat="1" x14ac:dyDescent="0.25"/>
    <row r="245" s="22" customFormat="1" x14ac:dyDescent="0.25"/>
    <row r="246" s="22" customFormat="1" x14ac:dyDescent="0.25"/>
    <row r="247" s="22" customFormat="1" x14ac:dyDescent="0.25"/>
    <row r="248" s="22" customFormat="1" x14ac:dyDescent="0.25"/>
    <row r="249" s="22" customFormat="1" x14ac:dyDescent="0.25"/>
    <row r="250" s="22" customFormat="1" x14ac:dyDescent="0.25"/>
    <row r="251" s="22" customFormat="1" x14ac:dyDescent="0.25"/>
    <row r="252" s="22" customFormat="1" x14ac:dyDescent="0.25"/>
    <row r="253" s="22" customFormat="1" x14ac:dyDescent="0.25"/>
    <row r="254" s="22" customFormat="1" x14ac:dyDescent="0.25"/>
    <row r="255" s="22" customFormat="1" x14ac:dyDescent="0.25"/>
    <row r="256" s="22" customFormat="1" x14ac:dyDescent="0.25"/>
    <row r="257" s="22" customFormat="1" x14ac:dyDescent="0.25"/>
    <row r="258" s="22" customFormat="1" x14ac:dyDescent="0.25"/>
    <row r="259" s="22" customFormat="1" x14ac:dyDescent="0.25"/>
    <row r="260" s="22" customFormat="1" x14ac:dyDescent="0.25"/>
    <row r="261" s="22" customFormat="1" x14ac:dyDescent="0.25"/>
    <row r="262" s="22" customFormat="1" x14ac:dyDescent="0.25"/>
    <row r="263" s="22" customFormat="1" x14ac:dyDescent="0.25"/>
    <row r="264" s="22" customFormat="1" x14ac:dyDescent="0.25"/>
    <row r="265" s="22" customFormat="1" x14ac:dyDescent="0.25"/>
    <row r="266" s="22" customFormat="1" x14ac:dyDescent="0.25"/>
    <row r="267" s="22" customFormat="1" x14ac:dyDescent="0.25"/>
    <row r="268" s="22" customFormat="1" x14ac:dyDescent="0.25"/>
    <row r="269" s="22" customFormat="1" x14ac:dyDescent="0.25"/>
    <row r="270" s="22" customFormat="1" x14ac:dyDescent="0.25"/>
    <row r="271" s="22" customFormat="1" x14ac:dyDescent="0.25"/>
    <row r="272" s="22" customFormat="1" x14ac:dyDescent="0.25"/>
    <row r="273" s="22" customFormat="1" x14ac:dyDescent="0.25"/>
    <row r="274" s="22" customFormat="1" x14ac:dyDescent="0.25"/>
    <row r="275" s="22" customFormat="1" x14ac:dyDescent="0.25"/>
    <row r="276" s="22" customFormat="1" x14ac:dyDescent="0.25"/>
    <row r="277" s="22" customFormat="1" x14ac:dyDescent="0.25"/>
    <row r="278" s="22" customFormat="1" x14ac:dyDescent="0.25"/>
    <row r="279" s="22" customFormat="1" x14ac:dyDescent="0.25"/>
    <row r="280" s="22" customFormat="1" x14ac:dyDescent="0.25"/>
    <row r="281" s="22" customFormat="1" x14ac:dyDescent="0.25"/>
    <row r="282" s="22" customFormat="1" x14ac:dyDescent="0.25"/>
    <row r="283" s="22" customFormat="1" x14ac:dyDescent="0.25"/>
    <row r="284" s="22" customFormat="1" x14ac:dyDescent="0.25"/>
    <row r="285" s="22" customFormat="1" x14ac:dyDescent="0.25"/>
    <row r="286" s="22" customFormat="1" x14ac:dyDescent="0.25"/>
    <row r="287" s="22" customFormat="1" x14ac:dyDescent="0.25"/>
    <row r="288" s="22" customFormat="1" x14ac:dyDescent="0.25"/>
    <row r="289" s="22" customFormat="1" x14ac:dyDescent="0.25"/>
    <row r="290" s="22" customFormat="1" x14ac:dyDescent="0.25"/>
    <row r="291" s="22" customFormat="1" x14ac:dyDescent="0.25"/>
    <row r="292" s="22" customFormat="1" x14ac:dyDescent="0.25"/>
    <row r="293" s="22" customFormat="1" x14ac:dyDescent="0.25"/>
    <row r="294" s="22" customFormat="1" x14ac:dyDescent="0.25"/>
    <row r="295" s="22" customFormat="1" x14ac:dyDescent="0.25"/>
    <row r="296" s="22" customFormat="1" x14ac:dyDescent="0.25"/>
    <row r="297" s="22" customFormat="1" x14ac:dyDescent="0.25"/>
    <row r="298" s="22" customFormat="1" x14ac:dyDescent="0.25"/>
    <row r="299" s="22" customFormat="1" x14ac:dyDescent="0.25"/>
    <row r="300" s="22" customFormat="1" x14ac:dyDescent="0.25"/>
  </sheetData>
  <sheetProtection sheet="1" objects="1" scenarios="1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6616-DB49-4409-8CD7-22E9BF7C960E}">
  <dimension ref="A1:N350"/>
  <sheetViews>
    <sheetView workbookViewId="0">
      <selection activeCell="E13" sqref="A2:I29"/>
    </sheetView>
  </sheetViews>
  <sheetFormatPr defaultRowHeight="13.2" x14ac:dyDescent="0.25"/>
  <cols>
    <col min="1" max="1" width="12.44140625" customWidth="1"/>
    <col min="2" max="2" width="13.33203125" customWidth="1"/>
    <col min="3" max="3" width="12.5546875" customWidth="1"/>
    <col min="4" max="4" width="10.109375" customWidth="1"/>
    <col min="5" max="5" width="14.88671875" customWidth="1"/>
    <col min="6" max="6" width="13.5546875" customWidth="1"/>
    <col min="7" max="7" width="12.6640625" customWidth="1"/>
    <col min="8" max="8" width="15" customWidth="1"/>
    <col min="9" max="9" width="21.6640625" customWidth="1"/>
  </cols>
  <sheetData>
    <row r="1" spans="1:14" ht="26.4" x14ac:dyDescent="0.25">
      <c r="A1" s="17" t="s">
        <v>55</v>
      </c>
      <c r="B1" s="18" t="s">
        <v>56</v>
      </c>
      <c r="C1" s="18" t="s">
        <v>57</v>
      </c>
      <c r="D1" s="18" t="s">
        <v>58</v>
      </c>
      <c r="E1" s="18" t="s">
        <v>59</v>
      </c>
      <c r="F1" s="18" t="s">
        <v>60</v>
      </c>
      <c r="G1" s="18" t="s">
        <v>61</v>
      </c>
      <c r="H1" s="18" t="s">
        <v>62</v>
      </c>
      <c r="I1" s="19" t="s">
        <v>63</v>
      </c>
    </row>
    <row r="2" spans="1:14" s="22" customFormat="1" ht="16.2" customHeight="1" x14ac:dyDescent="0.25">
      <c r="A2" s="23">
        <v>110</v>
      </c>
      <c r="B2" s="24" t="s">
        <v>64</v>
      </c>
      <c r="C2" s="24" t="s">
        <v>65</v>
      </c>
      <c r="D2" s="24" t="s">
        <v>65</v>
      </c>
      <c r="E2" s="24">
        <v>8</v>
      </c>
      <c r="F2" s="24" t="s">
        <v>66</v>
      </c>
      <c r="G2" s="24" t="s">
        <v>24</v>
      </c>
      <c r="H2" s="24" t="s">
        <v>67</v>
      </c>
      <c r="I2" s="25"/>
    </row>
    <row r="3" spans="1:14" s="22" customFormat="1" ht="16.2" customHeight="1" x14ac:dyDescent="0.25">
      <c r="A3" s="23">
        <v>110</v>
      </c>
      <c r="B3" s="24" t="s">
        <v>64</v>
      </c>
      <c r="C3" s="24" t="s">
        <v>68</v>
      </c>
      <c r="D3" s="24" t="s">
        <v>68</v>
      </c>
      <c r="E3" s="24">
        <v>8</v>
      </c>
      <c r="F3" s="24" t="s">
        <v>69</v>
      </c>
      <c r="G3" s="24" t="s">
        <v>24</v>
      </c>
      <c r="H3" s="24" t="s">
        <v>67</v>
      </c>
      <c r="I3" s="25"/>
    </row>
    <row r="4" spans="1:14" s="22" customFormat="1" ht="16.2" customHeight="1" x14ac:dyDescent="0.25">
      <c r="A4" s="23">
        <v>110</v>
      </c>
      <c r="B4" s="24" t="s">
        <v>64</v>
      </c>
      <c r="C4" s="24" t="s">
        <v>70</v>
      </c>
      <c r="D4" s="24" t="s">
        <v>71</v>
      </c>
      <c r="E4" s="24">
        <v>32</v>
      </c>
      <c r="F4" s="24" t="s">
        <v>72</v>
      </c>
      <c r="G4" s="24" t="s">
        <v>24</v>
      </c>
      <c r="H4" s="24" t="s">
        <v>67</v>
      </c>
      <c r="I4" s="25"/>
    </row>
    <row r="5" spans="1:14" s="22" customFormat="1" ht="16.2" customHeight="1" x14ac:dyDescent="0.25">
      <c r="A5" s="23">
        <v>110</v>
      </c>
      <c r="B5" s="24" t="s">
        <v>64</v>
      </c>
      <c r="C5" s="24" t="s">
        <v>73</v>
      </c>
      <c r="D5" s="24" t="s">
        <v>74</v>
      </c>
      <c r="E5" s="24">
        <v>56</v>
      </c>
      <c r="F5" s="24" t="s">
        <v>75</v>
      </c>
      <c r="G5" s="24" t="s">
        <v>24</v>
      </c>
      <c r="H5" s="24" t="s">
        <v>67</v>
      </c>
      <c r="I5" s="25"/>
    </row>
    <row r="6" spans="1:14" s="22" customFormat="1" ht="16.2" customHeight="1" x14ac:dyDescent="0.25">
      <c r="A6" s="23">
        <v>110</v>
      </c>
      <c r="B6" s="24" t="s">
        <v>64</v>
      </c>
      <c r="C6" s="24" t="s">
        <v>76</v>
      </c>
      <c r="D6" s="24" t="s">
        <v>76</v>
      </c>
      <c r="E6" s="24">
        <v>8</v>
      </c>
      <c r="F6" s="24" t="s">
        <v>75</v>
      </c>
      <c r="G6" s="24" t="s">
        <v>24</v>
      </c>
      <c r="H6" s="24" t="s">
        <v>67</v>
      </c>
      <c r="I6" s="25"/>
    </row>
    <row r="7" spans="1:14" s="22" customFormat="1" ht="16.2" customHeight="1" x14ac:dyDescent="0.25">
      <c r="A7" s="23">
        <v>110</v>
      </c>
      <c r="B7" s="24" t="s">
        <v>64</v>
      </c>
      <c r="C7" s="24" t="s">
        <v>77</v>
      </c>
      <c r="D7" s="24" t="s">
        <v>77</v>
      </c>
      <c r="E7" s="24">
        <v>8</v>
      </c>
      <c r="F7" s="24" t="s">
        <v>78</v>
      </c>
      <c r="G7" s="24" t="s">
        <v>24</v>
      </c>
      <c r="H7" s="24" t="s">
        <v>67</v>
      </c>
      <c r="I7" s="25"/>
    </row>
    <row r="8" spans="1:14" s="22" customFormat="1" ht="16.2" customHeight="1" x14ac:dyDescent="0.25">
      <c r="A8" s="23">
        <v>110</v>
      </c>
      <c r="B8" s="24" t="s">
        <v>64</v>
      </c>
      <c r="C8" s="24" t="s">
        <v>79</v>
      </c>
      <c r="D8" s="24" t="s">
        <v>79</v>
      </c>
      <c r="E8" s="24">
        <v>4</v>
      </c>
      <c r="F8" s="24" t="s">
        <v>79</v>
      </c>
      <c r="G8" s="24" t="s">
        <v>24</v>
      </c>
      <c r="H8" s="24" t="s">
        <v>67</v>
      </c>
      <c r="I8" s="25"/>
    </row>
    <row r="9" spans="1:14" s="22" customFormat="1" ht="16.2" customHeight="1" x14ac:dyDescent="0.25">
      <c r="A9" s="23">
        <v>110</v>
      </c>
      <c r="B9" s="24" t="s">
        <v>64</v>
      </c>
      <c r="C9" s="24" t="s">
        <v>80</v>
      </c>
      <c r="D9" s="24" t="s">
        <v>80</v>
      </c>
      <c r="E9" s="24">
        <v>2</v>
      </c>
      <c r="F9" s="24" t="s">
        <v>80</v>
      </c>
      <c r="G9" s="24" t="s">
        <v>24</v>
      </c>
      <c r="H9" s="24" t="s">
        <v>67</v>
      </c>
      <c r="I9" s="25"/>
    </row>
    <row r="10" spans="1:14" s="22" customFormat="1" ht="16.2" customHeight="1" x14ac:dyDescent="0.25">
      <c r="A10" s="23">
        <v>110</v>
      </c>
      <c r="B10" s="24" t="s">
        <v>64</v>
      </c>
      <c r="C10" s="24" t="s">
        <v>81</v>
      </c>
      <c r="D10" s="24" t="s">
        <v>81</v>
      </c>
      <c r="E10" s="24">
        <v>2</v>
      </c>
      <c r="F10" s="24" t="s">
        <v>81</v>
      </c>
      <c r="G10" s="24" t="s">
        <v>24</v>
      </c>
      <c r="H10" s="24" t="s">
        <v>67</v>
      </c>
      <c r="I10" s="25"/>
    </row>
    <row r="11" spans="1:14" s="22" customFormat="1" ht="16.2" customHeight="1" x14ac:dyDescent="0.25">
      <c r="A11" s="23">
        <v>200</v>
      </c>
      <c r="B11" s="24" t="s">
        <v>82</v>
      </c>
      <c r="C11" s="24" t="s">
        <v>83</v>
      </c>
      <c r="D11" s="24" t="s">
        <v>83</v>
      </c>
      <c r="E11" s="24">
        <v>4</v>
      </c>
      <c r="F11" s="24" t="s">
        <v>84</v>
      </c>
      <c r="G11" s="24" t="s">
        <v>24</v>
      </c>
      <c r="H11" s="26"/>
      <c r="I11" s="27" t="s">
        <v>85</v>
      </c>
    </row>
    <row r="12" spans="1:14" s="22" customFormat="1" ht="16.2" customHeight="1" x14ac:dyDescent="0.25">
      <c r="A12" s="23">
        <v>210</v>
      </c>
      <c r="B12" s="24" t="s">
        <v>86</v>
      </c>
      <c r="C12" s="24" t="s">
        <v>87</v>
      </c>
      <c r="D12" s="24" t="s">
        <v>87</v>
      </c>
      <c r="E12" s="24">
        <v>8</v>
      </c>
      <c r="F12" s="24" t="s">
        <v>88</v>
      </c>
      <c r="G12" s="24" t="s">
        <v>24</v>
      </c>
      <c r="H12" s="24" t="s">
        <v>67</v>
      </c>
      <c r="I12" s="25"/>
    </row>
    <row r="13" spans="1:14" s="22" customFormat="1" ht="16.2" customHeight="1" x14ac:dyDescent="0.3">
      <c r="A13" s="23">
        <v>220</v>
      </c>
      <c r="B13" s="24" t="s">
        <v>89</v>
      </c>
      <c r="C13" s="24" t="s">
        <v>83</v>
      </c>
      <c r="D13" s="24" t="s">
        <v>83</v>
      </c>
      <c r="E13" s="24">
        <v>4</v>
      </c>
      <c r="F13" s="24" t="s">
        <v>90</v>
      </c>
      <c r="G13" s="24" t="s">
        <v>24</v>
      </c>
      <c r="H13" s="24" t="s">
        <v>91</v>
      </c>
      <c r="I13" s="25"/>
      <c r="K13" s="97" t="s">
        <v>188</v>
      </c>
    </row>
    <row r="14" spans="1:14" s="22" customFormat="1" ht="16.2" customHeight="1" x14ac:dyDescent="0.25">
      <c r="A14" s="23">
        <v>260</v>
      </c>
      <c r="B14" s="24" t="s">
        <v>92</v>
      </c>
      <c r="C14" s="24" t="s">
        <v>93</v>
      </c>
      <c r="D14" s="24" t="s">
        <v>93</v>
      </c>
      <c r="E14" s="24">
        <v>6</v>
      </c>
      <c r="F14" s="24" t="s">
        <v>94</v>
      </c>
      <c r="G14" s="24" t="s">
        <v>24</v>
      </c>
      <c r="H14" s="26"/>
      <c r="I14" s="27" t="s">
        <v>95</v>
      </c>
      <c r="K14" s="90"/>
      <c r="L14" s="91"/>
      <c r="M14" s="91"/>
      <c r="N14" s="92"/>
    </row>
    <row r="15" spans="1:14" s="22" customFormat="1" ht="16.2" customHeight="1" x14ac:dyDescent="0.25">
      <c r="A15" s="23">
        <v>260</v>
      </c>
      <c r="B15" s="24" t="s">
        <v>92</v>
      </c>
      <c r="C15" s="24" t="s">
        <v>96</v>
      </c>
      <c r="D15" s="24" t="s">
        <v>96</v>
      </c>
      <c r="E15" s="24">
        <v>12</v>
      </c>
      <c r="F15" s="24" t="s">
        <v>97</v>
      </c>
      <c r="G15" s="24" t="s">
        <v>24</v>
      </c>
      <c r="H15" s="26"/>
      <c r="I15" s="27" t="s">
        <v>98</v>
      </c>
      <c r="K15" s="93"/>
      <c r="L15" s="98" t="s">
        <v>189</v>
      </c>
      <c r="M15" s="98"/>
      <c r="N15" s="94"/>
    </row>
    <row r="16" spans="1:14" s="22" customFormat="1" ht="16.2" customHeight="1" x14ac:dyDescent="0.25">
      <c r="A16" s="23">
        <v>260</v>
      </c>
      <c r="B16" s="24" t="s">
        <v>92</v>
      </c>
      <c r="C16" s="24" t="s">
        <v>99</v>
      </c>
      <c r="D16" s="24" t="s">
        <v>99</v>
      </c>
      <c r="E16" s="24">
        <v>13</v>
      </c>
      <c r="F16" s="24" t="s">
        <v>97</v>
      </c>
      <c r="G16" s="24" t="s">
        <v>24</v>
      </c>
      <c r="H16" s="26"/>
      <c r="I16" s="27" t="s">
        <v>98</v>
      </c>
      <c r="K16" s="93"/>
      <c r="L16" s="98" t="s">
        <v>191</v>
      </c>
      <c r="M16" s="98"/>
      <c r="N16" s="94"/>
    </row>
    <row r="17" spans="1:14" s="22" customFormat="1" ht="16.2" customHeight="1" x14ac:dyDescent="0.25">
      <c r="A17" s="23">
        <v>261</v>
      </c>
      <c r="B17" s="24" t="s">
        <v>100</v>
      </c>
      <c r="C17" s="24" t="s">
        <v>101</v>
      </c>
      <c r="D17" s="24" t="s">
        <v>101</v>
      </c>
      <c r="E17" s="24">
        <v>24</v>
      </c>
      <c r="F17" s="24" t="s">
        <v>102</v>
      </c>
      <c r="G17" s="24" t="s">
        <v>24</v>
      </c>
      <c r="H17" s="26"/>
      <c r="I17" s="27" t="s">
        <v>98</v>
      </c>
      <c r="K17" s="95"/>
      <c r="L17" s="99" t="s">
        <v>190</v>
      </c>
      <c r="M17" s="99"/>
      <c r="N17" s="96"/>
    </row>
    <row r="18" spans="1:14" s="22" customFormat="1" ht="16.2" customHeight="1" x14ac:dyDescent="0.25">
      <c r="A18" s="23">
        <v>410</v>
      </c>
      <c r="B18" s="24" t="s">
        <v>103</v>
      </c>
      <c r="C18" s="24" t="s">
        <v>104</v>
      </c>
      <c r="D18" s="24" t="s">
        <v>104</v>
      </c>
      <c r="E18" s="24">
        <v>3.75</v>
      </c>
      <c r="F18" s="24" t="s">
        <v>104</v>
      </c>
      <c r="G18" s="24" t="s">
        <v>24</v>
      </c>
      <c r="H18" s="24" t="s">
        <v>67</v>
      </c>
      <c r="I18" s="25"/>
    </row>
    <row r="19" spans="1:14" s="22" customFormat="1" ht="16.2" customHeight="1" x14ac:dyDescent="0.25">
      <c r="A19" s="23">
        <v>410</v>
      </c>
      <c r="B19" s="24" t="s">
        <v>103</v>
      </c>
      <c r="C19" s="24" t="s">
        <v>84</v>
      </c>
      <c r="D19" s="24" t="s">
        <v>84</v>
      </c>
      <c r="E19" s="24">
        <v>3.75</v>
      </c>
      <c r="F19" s="24" t="s">
        <v>84</v>
      </c>
      <c r="G19" s="24" t="s">
        <v>24</v>
      </c>
      <c r="H19" s="24" t="s">
        <v>67</v>
      </c>
      <c r="I19" s="25"/>
    </row>
    <row r="20" spans="1:14" s="22" customFormat="1" ht="16.2" customHeight="1" x14ac:dyDescent="0.25">
      <c r="A20" s="23">
        <v>410</v>
      </c>
      <c r="B20" s="24" t="s">
        <v>103</v>
      </c>
      <c r="C20" s="24" t="s">
        <v>105</v>
      </c>
      <c r="D20" s="24" t="s">
        <v>105</v>
      </c>
      <c r="E20" s="24">
        <v>3.75</v>
      </c>
      <c r="F20" s="24" t="s">
        <v>105</v>
      </c>
      <c r="G20" s="24" t="s">
        <v>24</v>
      </c>
      <c r="H20" s="24" t="s">
        <v>67</v>
      </c>
      <c r="I20" s="25"/>
    </row>
    <row r="21" spans="1:14" s="22" customFormat="1" ht="16.2" customHeight="1" x14ac:dyDescent="0.25">
      <c r="A21" s="23">
        <v>410</v>
      </c>
      <c r="B21" s="24" t="s">
        <v>103</v>
      </c>
      <c r="C21" s="24" t="s">
        <v>106</v>
      </c>
      <c r="D21" s="24" t="s">
        <v>106</v>
      </c>
      <c r="E21" s="24">
        <v>2</v>
      </c>
      <c r="F21" s="24" t="s">
        <v>106</v>
      </c>
      <c r="G21" s="24" t="s">
        <v>24</v>
      </c>
      <c r="H21" s="24" t="s">
        <v>67</v>
      </c>
      <c r="I21" s="25"/>
    </row>
    <row r="22" spans="1:14" s="22" customFormat="1" ht="16.2" customHeight="1" x14ac:dyDescent="0.25">
      <c r="A22" s="23">
        <v>660</v>
      </c>
      <c r="B22" s="24" t="s">
        <v>107</v>
      </c>
      <c r="C22" s="24" t="s">
        <v>83</v>
      </c>
      <c r="D22" s="24" t="s">
        <v>83</v>
      </c>
      <c r="E22" s="24">
        <v>4</v>
      </c>
      <c r="F22" s="24" t="s">
        <v>84</v>
      </c>
      <c r="G22" s="24" t="s">
        <v>24</v>
      </c>
      <c r="H22" s="26"/>
      <c r="I22" s="27" t="s">
        <v>85</v>
      </c>
    </row>
    <row r="23" spans="1:14" s="22" customFormat="1" ht="16.2" customHeight="1" x14ac:dyDescent="0.25">
      <c r="A23" s="23">
        <v>810</v>
      </c>
      <c r="B23" s="24" t="s">
        <v>108</v>
      </c>
      <c r="C23" s="24" t="s">
        <v>109</v>
      </c>
      <c r="D23" s="24" t="s">
        <v>109</v>
      </c>
      <c r="E23" s="24">
        <v>1.25</v>
      </c>
      <c r="F23" s="24" t="s">
        <v>109</v>
      </c>
      <c r="G23" s="24" t="s">
        <v>24</v>
      </c>
      <c r="H23" s="24" t="s">
        <v>110</v>
      </c>
      <c r="I23" s="25"/>
    </row>
    <row r="24" spans="1:14" s="22" customFormat="1" ht="16.2" customHeight="1" x14ac:dyDescent="0.25">
      <c r="A24" s="23">
        <v>810</v>
      </c>
      <c r="B24" s="24" t="s">
        <v>108</v>
      </c>
      <c r="C24" s="24" t="s">
        <v>111</v>
      </c>
      <c r="D24" s="24" t="s">
        <v>111</v>
      </c>
      <c r="E24" s="24">
        <v>4.25</v>
      </c>
      <c r="F24" s="24" t="s">
        <v>111</v>
      </c>
      <c r="G24" s="24" t="s">
        <v>24</v>
      </c>
      <c r="H24" s="24" t="s">
        <v>110</v>
      </c>
      <c r="I24" s="25"/>
    </row>
    <row r="25" spans="1:14" s="22" customFormat="1" ht="16.2" customHeight="1" x14ac:dyDescent="0.25">
      <c r="A25" s="23">
        <v>810</v>
      </c>
      <c r="B25" s="24" t="s">
        <v>108</v>
      </c>
      <c r="C25" s="24" t="s">
        <v>112</v>
      </c>
      <c r="D25" s="24" t="s">
        <v>112</v>
      </c>
      <c r="E25" s="24">
        <v>1</v>
      </c>
      <c r="F25" s="24" t="s">
        <v>112</v>
      </c>
      <c r="G25" s="24" t="s">
        <v>24</v>
      </c>
      <c r="H25" s="24" t="s">
        <v>67</v>
      </c>
      <c r="I25" s="25"/>
    </row>
    <row r="26" spans="1:14" s="22" customFormat="1" ht="16.2" customHeight="1" x14ac:dyDescent="0.25">
      <c r="A26" s="23">
        <v>810</v>
      </c>
      <c r="B26" s="24" t="s">
        <v>108</v>
      </c>
      <c r="C26" s="24" t="s">
        <v>113</v>
      </c>
      <c r="D26" s="24" t="s">
        <v>113</v>
      </c>
      <c r="E26" s="24">
        <v>3.75</v>
      </c>
      <c r="F26" s="24" t="s">
        <v>113</v>
      </c>
      <c r="G26" s="24" t="s">
        <v>24</v>
      </c>
      <c r="H26" s="24" t="s">
        <v>67</v>
      </c>
      <c r="I26" s="25"/>
    </row>
    <row r="27" spans="1:14" s="22" customFormat="1" ht="16.2" customHeight="1" x14ac:dyDescent="0.25">
      <c r="A27" s="23">
        <v>810</v>
      </c>
      <c r="B27" s="24" t="s">
        <v>108</v>
      </c>
      <c r="C27" s="24" t="s">
        <v>114</v>
      </c>
      <c r="D27" s="24" t="s">
        <v>114</v>
      </c>
      <c r="E27" s="24">
        <v>8</v>
      </c>
      <c r="F27" s="24" t="s">
        <v>115</v>
      </c>
      <c r="G27" s="24" t="s">
        <v>24</v>
      </c>
      <c r="H27" s="24" t="s">
        <v>67</v>
      </c>
      <c r="I27" s="25"/>
    </row>
    <row r="28" spans="1:14" s="22" customFormat="1" ht="16.2" customHeight="1" x14ac:dyDescent="0.25">
      <c r="A28" s="23">
        <v>810</v>
      </c>
      <c r="B28" s="24" t="s">
        <v>108</v>
      </c>
      <c r="C28" s="24" t="s">
        <v>116</v>
      </c>
      <c r="D28" s="24" t="s">
        <v>116</v>
      </c>
      <c r="E28" s="24">
        <v>8</v>
      </c>
      <c r="F28" s="24" t="s">
        <v>117</v>
      </c>
      <c r="G28" s="24" t="s">
        <v>24</v>
      </c>
      <c r="H28" s="24" t="s">
        <v>118</v>
      </c>
      <c r="I28" s="25"/>
    </row>
    <row r="29" spans="1:14" s="22" customFormat="1" ht="16.2" customHeight="1" x14ac:dyDescent="0.25">
      <c r="A29" s="28">
        <v>810</v>
      </c>
      <c r="B29" s="29" t="s">
        <v>108</v>
      </c>
      <c r="C29" s="29" t="s">
        <v>119</v>
      </c>
      <c r="D29" s="29" t="s">
        <v>119</v>
      </c>
      <c r="E29" s="29">
        <v>3.75</v>
      </c>
      <c r="F29" s="29" t="s">
        <v>119</v>
      </c>
      <c r="G29" s="29" t="s">
        <v>24</v>
      </c>
      <c r="H29" s="29" t="s">
        <v>67</v>
      </c>
      <c r="I29" s="30"/>
    </row>
    <row r="30" spans="1:14" s="22" customFormat="1" x14ac:dyDescent="0.25"/>
    <row r="31" spans="1:14" s="22" customFormat="1" x14ac:dyDescent="0.25"/>
    <row r="32" spans="1:14" s="22" customFormat="1" x14ac:dyDescent="0.25"/>
    <row r="33" s="22" customFormat="1" x14ac:dyDescent="0.25"/>
    <row r="34" s="22" customFormat="1" x14ac:dyDescent="0.25"/>
    <row r="35" s="22" customFormat="1" x14ac:dyDescent="0.25"/>
    <row r="36" s="22" customFormat="1" x14ac:dyDescent="0.25"/>
    <row r="37" s="22" customFormat="1" x14ac:dyDescent="0.25"/>
    <row r="38" s="22" customFormat="1" x14ac:dyDescent="0.25"/>
    <row r="39" s="22" customFormat="1" x14ac:dyDescent="0.25"/>
    <row r="40" s="22" customFormat="1" x14ac:dyDescent="0.25"/>
    <row r="41" s="22" customFormat="1" x14ac:dyDescent="0.25"/>
    <row r="42" s="22" customFormat="1" x14ac:dyDescent="0.25"/>
    <row r="43" s="22" customFormat="1" x14ac:dyDescent="0.25"/>
    <row r="44" s="22" customFormat="1" x14ac:dyDescent="0.25"/>
    <row r="45" s="22" customFormat="1" x14ac:dyDescent="0.25"/>
    <row r="46" s="22" customFormat="1" x14ac:dyDescent="0.25"/>
    <row r="47" s="22" customFormat="1" x14ac:dyDescent="0.25"/>
    <row r="48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="22" customFormat="1" x14ac:dyDescent="0.25"/>
    <row r="98" s="22" customFormat="1" x14ac:dyDescent="0.25"/>
    <row r="99" s="22" customFormat="1" x14ac:dyDescent="0.25"/>
    <row r="100" s="22" customFormat="1" x14ac:dyDescent="0.25"/>
    <row r="101" s="22" customFormat="1" x14ac:dyDescent="0.25"/>
    <row r="102" s="22" customFormat="1" x14ac:dyDescent="0.25"/>
    <row r="103" s="22" customFormat="1" x14ac:dyDescent="0.25"/>
    <row r="104" s="22" customFormat="1" x14ac:dyDescent="0.25"/>
    <row r="105" s="22" customFormat="1" x14ac:dyDescent="0.25"/>
    <row r="106" s="22" customFormat="1" x14ac:dyDescent="0.25"/>
    <row r="107" s="22" customFormat="1" x14ac:dyDescent="0.25"/>
    <row r="108" s="22" customFormat="1" x14ac:dyDescent="0.25"/>
    <row r="109" s="22" customFormat="1" x14ac:dyDescent="0.25"/>
    <row r="110" s="22" customFormat="1" x14ac:dyDescent="0.25"/>
    <row r="111" s="22" customFormat="1" x14ac:dyDescent="0.25"/>
    <row r="112" s="22" customFormat="1" x14ac:dyDescent="0.25"/>
    <row r="113" s="22" customFormat="1" x14ac:dyDescent="0.25"/>
    <row r="114" s="22" customFormat="1" x14ac:dyDescent="0.25"/>
    <row r="115" s="22" customFormat="1" x14ac:dyDescent="0.25"/>
    <row r="116" s="22" customFormat="1" x14ac:dyDescent="0.25"/>
    <row r="117" s="22" customFormat="1" x14ac:dyDescent="0.25"/>
    <row r="118" s="22" customFormat="1" x14ac:dyDescent="0.25"/>
    <row r="119" s="22" customFormat="1" x14ac:dyDescent="0.25"/>
    <row r="120" s="22" customFormat="1" x14ac:dyDescent="0.25"/>
    <row r="121" s="22" customFormat="1" x14ac:dyDescent="0.25"/>
    <row r="122" s="22" customFormat="1" x14ac:dyDescent="0.25"/>
    <row r="123" s="22" customFormat="1" x14ac:dyDescent="0.25"/>
    <row r="124" s="22" customFormat="1" x14ac:dyDescent="0.25"/>
    <row r="125" s="22" customFormat="1" x14ac:dyDescent="0.25"/>
    <row r="126" s="22" customFormat="1" x14ac:dyDescent="0.25"/>
    <row r="127" s="22" customFormat="1" x14ac:dyDescent="0.25"/>
    <row r="128" s="22" customFormat="1" x14ac:dyDescent="0.25"/>
    <row r="129" s="22" customFormat="1" x14ac:dyDescent="0.25"/>
    <row r="130" s="22" customFormat="1" x14ac:dyDescent="0.25"/>
    <row r="131" s="22" customFormat="1" x14ac:dyDescent="0.25"/>
    <row r="132" s="22" customFormat="1" x14ac:dyDescent="0.25"/>
    <row r="133" s="22" customFormat="1" x14ac:dyDescent="0.25"/>
    <row r="134" s="22" customFormat="1" x14ac:dyDescent="0.25"/>
    <row r="135" s="22" customFormat="1" x14ac:dyDescent="0.25"/>
    <row r="136" s="22" customFormat="1" x14ac:dyDescent="0.25"/>
    <row r="137" s="22" customFormat="1" x14ac:dyDescent="0.25"/>
    <row r="138" s="22" customFormat="1" x14ac:dyDescent="0.25"/>
    <row r="139" s="22" customFormat="1" x14ac:dyDescent="0.25"/>
    <row r="140" s="22" customFormat="1" x14ac:dyDescent="0.25"/>
    <row r="141" s="22" customFormat="1" x14ac:dyDescent="0.25"/>
    <row r="142" s="22" customFormat="1" x14ac:dyDescent="0.25"/>
    <row r="143" s="22" customFormat="1" x14ac:dyDescent="0.25"/>
    <row r="144" s="22" customFormat="1" x14ac:dyDescent="0.25"/>
    <row r="145" s="22" customFormat="1" x14ac:dyDescent="0.25"/>
    <row r="146" s="22" customFormat="1" x14ac:dyDescent="0.25"/>
    <row r="147" s="22" customFormat="1" x14ac:dyDescent="0.25"/>
    <row r="148" s="22" customFormat="1" x14ac:dyDescent="0.25"/>
    <row r="149" s="22" customFormat="1" x14ac:dyDescent="0.25"/>
    <row r="150" s="22" customFormat="1" x14ac:dyDescent="0.25"/>
    <row r="151" s="22" customFormat="1" x14ac:dyDescent="0.25"/>
    <row r="152" s="22" customFormat="1" x14ac:dyDescent="0.25"/>
    <row r="153" s="22" customFormat="1" x14ac:dyDescent="0.25"/>
    <row r="154" s="22" customFormat="1" x14ac:dyDescent="0.25"/>
    <row r="155" s="22" customFormat="1" x14ac:dyDescent="0.25"/>
    <row r="156" s="22" customFormat="1" x14ac:dyDescent="0.25"/>
    <row r="157" s="22" customFormat="1" x14ac:dyDescent="0.25"/>
    <row r="158" s="22" customFormat="1" x14ac:dyDescent="0.25"/>
    <row r="159" s="22" customFormat="1" x14ac:dyDescent="0.25"/>
    <row r="160" s="22" customFormat="1" x14ac:dyDescent="0.25"/>
    <row r="161" s="22" customFormat="1" x14ac:dyDescent="0.25"/>
    <row r="162" s="22" customFormat="1" x14ac:dyDescent="0.25"/>
    <row r="163" s="22" customFormat="1" x14ac:dyDescent="0.25"/>
    <row r="164" s="22" customFormat="1" x14ac:dyDescent="0.25"/>
    <row r="165" s="22" customFormat="1" x14ac:dyDescent="0.25"/>
    <row r="166" s="22" customFormat="1" x14ac:dyDescent="0.25"/>
    <row r="167" s="22" customFormat="1" x14ac:dyDescent="0.25"/>
    <row r="168" s="22" customFormat="1" x14ac:dyDescent="0.25"/>
    <row r="169" s="22" customFormat="1" x14ac:dyDescent="0.25"/>
    <row r="170" s="22" customFormat="1" x14ac:dyDescent="0.25"/>
    <row r="171" s="22" customFormat="1" x14ac:dyDescent="0.25"/>
    <row r="172" s="22" customFormat="1" x14ac:dyDescent="0.25"/>
    <row r="173" s="22" customFormat="1" x14ac:dyDescent="0.25"/>
    <row r="174" s="22" customFormat="1" x14ac:dyDescent="0.25"/>
    <row r="175" s="22" customFormat="1" x14ac:dyDescent="0.25"/>
    <row r="176" s="22" customFormat="1" x14ac:dyDescent="0.25"/>
    <row r="177" s="22" customFormat="1" x14ac:dyDescent="0.25"/>
    <row r="178" s="22" customFormat="1" x14ac:dyDescent="0.25"/>
    <row r="179" s="22" customFormat="1" x14ac:dyDescent="0.25"/>
    <row r="180" s="22" customFormat="1" x14ac:dyDescent="0.25"/>
    <row r="181" s="22" customFormat="1" x14ac:dyDescent="0.25"/>
    <row r="182" s="22" customFormat="1" x14ac:dyDescent="0.25"/>
    <row r="183" s="22" customFormat="1" x14ac:dyDescent="0.25"/>
    <row r="184" s="22" customFormat="1" x14ac:dyDescent="0.25"/>
    <row r="185" s="22" customFormat="1" x14ac:dyDescent="0.25"/>
    <row r="186" s="22" customFormat="1" x14ac:dyDescent="0.25"/>
    <row r="187" s="22" customFormat="1" x14ac:dyDescent="0.25"/>
    <row r="188" s="22" customFormat="1" x14ac:dyDescent="0.25"/>
    <row r="189" s="22" customFormat="1" x14ac:dyDescent="0.25"/>
    <row r="190" s="22" customFormat="1" x14ac:dyDescent="0.25"/>
    <row r="191" s="22" customFormat="1" x14ac:dyDescent="0.25"/>
    <row r="192" s="22" customFormat="1" x14ac:dyDescent="0.25"/>
    <row r="193" s="22" customFormat="1" x14ac:dyDescent="0.25"/>
    <row r="194" s="22" customFormat="1" x14ac:dyDescent="0.25"/>
    <row r="195" s="22" customFormat="1" x14ac:dyDescent="0.25"/>
    <row r="196" s="22" customFormat="1" x14ac:dyDescent="0.25"/>
    <row r="197" s="22" customFormat="1" x14ac:dyDescent="0.25"/>
    <row r="198" s="22" customFormat="1" x14ac:dyDescent="0.25"/>
    <row r="199" s="22" customFormat="1" x14ac:dyDescent="0.25"/>
    <row r="200" s="22" customFormat="1" x14ac:dyDescent="0.25"/>
    <row r="201" s="22" customFormat="1" x14ac:dyDescent="0.25"/>
    <row r="202" s="22" customFormat="1" x14ac:dyDescent="0.25"/>
    <row r="203" s="22" customFormat="1" x14ac:dyDescent="0.25"/>
    <row r="204" s="22" customFormat="1" x14ac:dyDescent="0.25"/>
    <row r="205" s="22" customFormat="1" x14ac:dyDescent="0.25"/>
    <row r="206" s="22" customFormat="1" x14ac:dyDescent="0.25"/>
    <row r="207" s="22" customFormat="1" x14ac:dyDescent="0.25"/>
    <row r="208" s="22" customFormat="1" x14ac:dyDescent="0.25"/>
    <row r="209" s="22" customFormat="1" x14ac:dyDescent="0.25"/>
    <row r="210" s="22" customFormat="1" x14ac:dyDescent="0.25"/>
    <row r="211" s="22" customFormat="1" x14ac:dyDescent="0.25"/>
    <row r="212" s="22" customFormat="1" x14ac:dyDescent="0.25"/>
    <row r="213" s="22" customFormat="1" x14ac:dyDescent="0.25"/>
    <row r="214" s="22" customFormat="1" x14ac:dyDescent="0.25"/>
    <row r="215" s="22" customFormat="1" x14ac:dyDescent="0.25"/>
    <row r="216" s="22" customFormat="1" x14ac:dyDescent="0.25"/>
    <row r="217" s="22" customFormat="1" x14ac:dyDescent="0.25"/>
    <row r="218" s="22" customFormat="1" x14ac:dyDescent="0.25"/>
    <row r="219" s="22" customFormat="1" x14ac:dyDescent="0.25"/>
    <row r="220" s="22" customFormat="1" x14ac:dyDescent="0.25"/>
    <row r="221" s="22" customFormat="1" x14ac:dyDescent="0.25"/>
    <row r="222" s="22" customFormat="1" x14ac:dyDescent="0.25"/>
    <row r="223" s="22" customFormat="1" x14ac:dyDescent="0.25"/>
    <row r="224" s="22" customFormat="1" x14ac:dyDescent="0.25"/>
    <row r="225" s="22" customFormat="1" x14ac:dyDescent="0.25"/>
    <row r="226" s="22" customFormat="1" x14ac:dyDescent="0.25"/>
    <row r="227" s="22" customFormat="1" x14ac:dyDescent="0.25"/>
    <row r="228" s="22" customFormat="1" x14ac:dyDescent="0.25"/>
    <row r="229" s="22" customFormat="1" x14ac:dyDescent="0.25"/>
    <row r="230" s="22" customFormat="1" x14ac:dyDescent="0.25"/>
    <row r="231" s="22" customFormat="1" x14ac:dyDescent="0.25"/>
    <row r="232" s="22" customFormat="1" x14ac:dyDescent="0.25"/>
    <row r="233" s="22" customFormat="1" x14ac:dyDescent="0.25"/>
    <row r="234" s="22" customFormat="1" x14ac:dyDescent="0.25"/>
    <row r="235" s="22" customFormat="1" x14ac:dyDescent="0.25"/>
    <row r="236" s="22" customFormat="1" x14ac:dyDescent="0.25"/>
    <row r="237" s="22" customFormat="1" x14ac:dyDescent="0.25"/>
    <row r="238" s="22" customFormat="1" x14ac:dyDescent="0.25"/>
    <row r="239" s="22" customFormat="1" x14ac:dyDescent="0.25"/>
    <row r="240" s="22" customFormat="1" x14ac:dyDescent="0.25"/>
    <row r="241" s="22" customFormat="1" x14ac:dyDescent="0.25"/>
    <row r="242" s="22" customFormat="1" x14ac:dyDescent="0.25"/>
    <row r="243" s="22" customFormat="1" x14ac:dyDescent="0.25"/>
    <row r="244" s="22" customFormat="1" x14ac:dyDescent="0.25"/>
    <row r="245" s="22" customFormat="1" x14ac:dyDescent="0.25"/>
    <row r="246" s="22" customFormat="1" x14ac:dyDescent="0.25"/>
    <row r="247" s="22" customFormat="1" x14ac:dyDescent="0.25"/>
    <row r="248" s="22" customFormat="1" x14ac:dyDescent="0.25"/>
    <row r="249" s="22" customFormat="1" x14ac:dyDescent="0.25"/>
    <row r="250" s="22" customFormat="1" x14ac:dyDescent="0.25"/>
    <row r="251" s="22" customFormat="1" x14ac:dyDescent="0.25"/>
    <row r="252" s="22" customFormat="1" x14ac:dyDescent="0.25"/>
    <row r="253" s="22" customFormat="1" x14ac:dyDescent="0.25"/>
    <row r="254" s="22" customFormat="1" x14ac:dyDescent="0.25"/>
    <row r="255" s="22" customFormat="1" x14ac:dyDescent="0.25"/>
    <row r="256" s="22" customFormat="1" x14ac:dyDescent="0.25"/>
    <row r="257" s="22" customFormat="1" x14ac:dyDescent="0.25"/>
    <row r="258" s="22" customFormat="1" x14ac:dyDescent="0.25"/>
    <row r="259" s="22" customFormat="1" x14ac:dyDescent="0.25"/>
    <row r="260" s="22" customFormat="1" x14ac:dyDescent="0.25"/>
    <row r="261" s="22" customFormat="1" x14ac:dyDescent="0.25"/>
    <row r="262" s="22" customFormat="1" x14ac:dyDescent="0.25"/>
    <row r="263" s="22" customFormat="1" x14ac:dyDescent="0.25"/>
    <row r="264" s="22" customFormat="1" x14ac:dyDescent="0.25"/>
    <row r="265" s="22" customFormat="1" x14ac:dyDescent="0.25"/>
    <row r="266" s="22" customFormat="1" x14ac:dyDescent="0.25"/>
    <row r="267" s="22" customFormat="1" x14ac:dyDescent="0.25"/>
    <row r="268" s="22" customFormat="1" x14ac:dyDescent="0.25"/>
    <row r="269" s="22" customFormat="1" x14ac:dyDescent="0.25"/>
    <row r="270" s="22" customFormat="1" x14ac:dyDescent="0.25"/>
    <row r="271" s="22" customFormat="1" x14ac:dyDescent="0.25"/>
    <row r="272" s="22" customFormat="1" x14ac:dyDescent="0.25"/>
    <row r="273" s="22" customFormat="1" x14ac:dyDescent="0.25"/>
    <row r="274" s="22" customFormat="1" x14ac:dyDescent="0.25"/>
    <row r="275" s="22" customFormat="1" x14ac:dyDescent="0.25"/>
    <row r="276" s="22" customFormat="1" x14ac:dyDescent="0.25"/>
    <row r="277" s="22" customFormat="1" x14ac:dyDescent="0.25"/>
    <row r="278" s="22" customFormat="1" x14ac:dyDescent="0.25"/>
    <row r="279" s="22" customFormat="1" x14ac:dyDescent="0.25"/>
    <row r="280" s="22" customFormat="1" x14ac:dyDescent="0.25"/>
    <row r="281" s="22" customFormat="1" x14ac:dyDescent="0.25"/>
    <row r="282" s="22" customFormat="1" x14ac:dyDescent="0.25"/>
    <row r="283" s="22" customFormat="1" x14ac:dyDescent="0.25"/>
    <row r="284" s="22" customFormat="1" x14ac:dyDescent="0.25"/>
    <row r="285" s="22" customFormat="1" x14ac:dyDescent="0.25"/>
    <row r="286" s="22" customFormat="1" x14ac:dyDescent="0.25"/>
    <row r="287" s="22" customFormat="1" x14ac:dyDescent="0.25"/>
    <row r="288" s="22" customFormat="1" x14ac:dyDescent="0.25"/>
    <row r="289" s="22" customFormat="1" x14ac:dyDescent="0.25"/>
    <row r="290" s="22" customFormat="1" x14ac:dyDescent="0.25"/>
    <row r="291" s="22" customFormat="1" x14ac:dyDescent="0.25"/>
    <row r="292" s="22" customFormat="1" x14ac:dyDescent="0.25"/>
    <row r="293" s="22" customFormat="1" x14ac:dyDescent="0.25"/>
    <row r="294" s="22" customFormat="1" x14ac:dyDescent="0.25"/>
    <row r="295" s="22" customFormat="1" x14ac:dyDescent="0.25"/>
    <row r="296" s="22" customFormat="1" x14ac:dyDescent="0.25"/>
    <row r="297" s="22" customFormat="1" x14ac:dyDescent="0.25"/>
    <row r="298" s="22" customFormat="1" x14ac:dyDescent="0.25"/>
    <row r="299" s="22" customFormat="1" x14ac:dyDescent="0.25"/>
    <row r="300" s="22" customFormat="1" x14ac:dyDescent="0.25"/>
    <row r="301" s="22" customFormat="1" x14ac:dyDescent="0.25"/>
    <row r="302" s="22" customFormat="1" x14ac:dyDescent="0.25"/>
    <row r="303" s="22" customFormat="1" x14ac:dyDescent="0.25"/>
    <row r="304" s="22" customFormat="1" x14ac:dyDescent="0.25"/>
    <row r="305" s="22" customFormat="1" x14ac:dyDescent="0.25"/>
    <row r="306" s="22" customFormat="1" x14ac:dyDescent="0.25"/>
    <row r="307" s="22" customFormat="1" x14ac:dyDescent="0.25"/>
    <row r="308" s="22" customFormat="1" x14ac:dyDescent="0.25"/>
    <row r="309" s="22" customFormat="1" x14ac:dyDescent="0.25"/>
    <row r="310" s="22" customFormat="1" x14ac:dyDescent="0.25"/>
    <row r="311" s="22" customFormat="1" x14ac:dyDescent="0.25"/>
    <row r="312" s="22" customFormat="1" x14ac:dyDescent="0.25"/>
    <row r="313" s="22" customFormat="1" x14ac:dyDescent="0.25"/>
    <row r="314" s="22" customFormat="1" x14ac:dyDescent="0.25"/>
    <row r="315" s="22" customFormat="1" x14ac:dyDescent="0.25"/>
    <row r="316" s="22" customFormat="1" x14ac:dyDescent="0.25"/>
    <row r="317" s="22" customFormat="1" x14ac:dyDescent="0.25"/>
    <row r="318" s="22" customFormat="1" x14ac:dyDescent="0.25"/>
    <row r="319" s="22" customFormat="1" x14ac:dyDescent="0.25"/>
    <row r="320" s="22" customFormat="1" x14ac:dyDescent="0.25"/>
    <row r="321" s="22" customFormat="1" x14ac:dyDescent="0.25"/>
    <row r="322" s="22" customFormat="1" x14ac:dyDescent="0.25"/>
    <row r="323" s="22" customFormat="1" x14ac:dyDescent="0.25"/>
    <row r="324" s="22" customFormat="1" x14ac:dyDescent="0.25"/>
    <row r="325" s="22" customFormat="1" x14ac:dyDescent="0.25"/>
    <row r="326" s="22" customFormat="1" x14ac:dyDescent="0.25"/>
    <row r="327" s="22" customFormat="1" x14ac:dyDescent="0.25"/>
    <row r="328" s="22" customFormat="1" x14ac:dyDescent="0.25"/>
    <row r="329" s="22" customFormat="1" x14ac:dyDescent="0.25"/>
    <row r="330" s="22" customFormat="1" x14ac:dyDescent="0.25"/>
    <row r="331" s="22" customFormat="1" x14ac:dyDescent="0.25"/>
    <row r="332" s="22" customFormat="1" x14ac:dyDescent="0.25"/>
    <row r="333" s="22" customFormat="1" x14ac:dyDescent="0.25"/>
    <row r="334" s="22" customFormat="1" x14ac:dyDescent="0.25"/>
    <row r="335" s="22" customFormat="1" x14ac:dyDescent="0.25"/>
    <row r="336" s="22" customFormat="1" x14ac:dyDescent="0.25"/>
    <row r="337" s="22" customFormat="1" x14ac:dyDescent="0.25"/>
    <row r="338" s="22" customFormat="1" x14ac:dyDescent="0.25"/>
    <row r="339" s="22" customFormat="1" x14ac:dyDescent="0.25"/>
    <row r="340" s="22" customFormat="1" x14ac:dyDescent="0.25"/>
    <row r="341" s="22" customFormat="1" x14ac:dyDescent="0.25"/>
    <row r="342" s="22" customFormat="1" x14ac:dyDescent="0.25"/>
    <row r="343" s="22" customFormat="1" x14ac:dyDescent="0.25"/>
    <row r="344" s="22" customFormat="1" x14ac:dyDescent="0.25"/>
    <row r="345" s="22" customFormat="1" x14ac:dyDescent="0.25"/>
    <row r="346" s="22" customFormat="1" x14ac:dyDescent="0.25"/>
    <row r="347" s="22" customFormat="1" x14ac:dyDescent="0.25"/>
    <row r="348" s="22" customFormat="1" x14ac:dyDescent="0.25"/>
    <row r="349" s="22" customFormat="1" x14ac:dyDescent="0.25"/>
    <row r="350" s="22" customFormat="1" x14ac:dyDescent="0.25"/>
  </sheetData>
  <sheetProtection sheet="1" objects="1" scenarios="1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outlinePr summaryBelow="0" summaryRight="0"/>
  </sheetPr>
  <dimension ref="A1:G954"/>
  <sheetViews>
    <sheetView workbookViewId="0">
      <selection sqref="A1:F14"/>
    </sheetView>
  </sheetViews>
  <sheetFormatPr defaultColWidth="12.6640625" defaultRowHeight="15" customHeight="1" x14ac:dyDescent="0.25"/>
  <cols>
    <col min="1" max="1" width="10.33203125" bestFit="1" customWidth="1"/>
    <col min="2" max="2" width="10.21875" bestFit="1" customWidth="1"/>
    <col min="3" max="3" width="19.88671875" style="7" bestFit="1" customWidth="1"/>
    <col min="4" max="4" width="14.77734375" style="6" bestFit="1" customWidth="1"/>
    <col min="5" max="5" width="19.21875" style="7" bestFit="1" customWidth="1"/>
    <col min="6" max="6" width="14.21875" style="6" bestFit="1" customWidth="1"/>
    <col min="8" max="8" width="19.33203125" customWidth="1"/>
    <col min="13" max="26" width="14.33203125" customWidth="1"/>
  </cols>
  <sheetData>
    <row r="1" spans="1:7" ht="13.2" x14ac:dyDescent="0.25">
      <c r="A1" s="5" t="s">
        <v>13</v>
      </c>
      <c r="B1" s="10" t="s">
        <v>120</v>
      </c>
      <c r="C1" s="8" t="s">
        <v>121</v>
      </c>
      <c r="D1" s="9" t="s">
        <v>122</v>
      </c>
      <c r="E1" s="8" t="s">
        <v>123</v>
      </c>
      <c r="F1" s="9" t="s">
        <v>124</v>
      </c>
      <c r="G1" s="1"/>
    </row>
    <row r="2" spans="1:7" ht="13.2" x14ac:dyDescent="0.25">
      <c r="A2" s="69">
        <v>45750</v>
      </c>
      <c r="B2" t="s">
        <v>125</v>
      </c>
      <c r="C2" s="20" t="s">
        <v>152</v>
      </c>
      <c r="D2" s="20">
        <v>2</v>
      </c>
      <c r="E2" s="20">
        <v>0</v>
      </c>
      <c r="F2" s="6">
        <v>0</v>
      </c>
    </row>
    <row r="3" spans="1:7" ht="13.2" x14ac:dyDescent="0.25">
      <c r="A3" s="69">
        <v>45751</v>
      </c>
      <c r="B3" t="s">
        <v>125</v>
      </c>
      <c r="C3" s="20" t="s">
        <v>152</v>
      </c>
      <c r="D3" s="20">
        <v>2</v>
      </c>
      <c r="E3" s="20">
        <v>0</v>
      </c>
      <c r="F3" s="6">
        <v>0</v>
      </c>
    </row>
    <row r="4" spans="1:7" ht="13.2" x14ac:dyDescent="0.25">
      <c r="A4" s="69">
        <v>45755</v>
      </c>
      <c r="B4" t="s">
        <v>125</v>
      </c>
      <c r="C4" s="20" t="s">
        <v>153</v>
      </c>
      <c r="D4" s="20">
        <v>8</v>
      </c>
      <c r="E4" s="20" t="s">
        <v>152</v>
      </c>
      <c r="F4" s="6">
        <v>8</v>
      </c>
    </row>
    <row r="5" spans="1:7" ht="13.2" x14ac:dyDescent="0.25">
      <c r="A5" s="69">
        <v>45769</v>
      </c>
      <c r="B5" t="s">
        <v>125</v>
      </c>
      <c r="C5" s="20" t="s">
        <v>154</v>
      </c>
      <c r="D5" s="20">
        <v>2</v>
      </c>
      <c r="E5" s="20">
        <v>0</v>
      </c>
      <c r="F5" s="6">
        <v>0</v>
      </c>
    </row>
    <row r="6" spans="1:7" ht="13.2" x14ac:dyDescent="0.25">
      <c r="A6" s="69">
        <v>45775</v>
      </c>
      <c r="B6" t="s">
        <v>125</v>
      </c>
      <c r="C6" s="20" t="s">
        <v>154</v>
      </c>
      <c r="D6" s="20">
        <v>3.75</v>
      </c>
      <c r="E6" s="20" t="s">
        <v>152</v>
      </c>
      <c r="F6" s="6">
        <v>3.75</v>
      </c>
    </row>
    <row r="7" spans="1:7" ht="13.2" x14ac:dyDescent="0.25">
      <c r="A7" s="69">
        <v>45799</v>
      </c>
      <c r="B7" t="s">
        <v>125</v>
      </c>
      <c r="C7" s="20" t="s">
        <v>152</v>
      </c>
      <c r="D7" s="20">
        <v>4</v>
      </c>
      <c r="E7" s="20">
        <v>0</v>
      </c>
      <c r="F7" s="6">
        <v>0</v>
      </c>
    </row>
    <row r="8" spans="1:7" ht="13.2" x14ac:dyDescent="0.25">
      <c r="A8" s="69">
        <v>45806</v>
      </c>
      <c r="B8" t="s">
        <v>125</v>
      </c>
      <c r="C8" s="20" t="s">
        <v>155</v>
      </c>
      <c r="D8" s="20">
        <v>4</v>
      </c>
      <c r="E8" s="20">
        <v>0</v>
      </c>
      <c r="F8" s="6">
        <v>0</v>
      </c>
    </row>
    <row r="9" spans="1:7" ht="13.2" x14ac:dyDescent="0.25">
      <c r="A9" s="69">
        <v>45819</v>
      </c>
      <c r="B9" t="s">
        <v>125</v>
      </c>
      <c r="C9" s="20" t="s">
        <v>152</v>
      </c>
      <c r="D9" s="20">
        <v>8</v>
      </c>
      <c r="E9" s="20" t="s">
        <v>153</v>
      </c>
      <c r="F9" s="6">
        <v>8</v>
      </c>
    </row>
    <row r="10" spans="1:7" ht="13.2" x14ac:dyDescent="0.25">
      <c r="A10" s="69">
        <v>45856</v>
      </c>
      <c r="B10" t="s">
        <v>125</v>
      </c>
      <c r="C10" s="20" t="s">
        <v>154</v>
      </c>
      <c r="D10" s="20">
        <v>3.75</v>
      </c>
      <c r="E10" s="20">
        <v>0</v>
      </c>
      <c r="F10" s="6">
        <v>0</v>
      </c>
    </row>
    <row r="11" spans="1:7" ht="13.2" x14ac:dyDescent="0.25">
      <c r="A11" s="69">
        <v>45861</v>
      </c>
      <c r="B11" t="s">
        <v>125</v>
      </c>
      <c r="C11" s="20" t="s">
        <v>156</v>
      </c>
      <c r="D11" s="20">
        <v>3.75</v>
      </c>
      <c r="E11" s="20">
        <v>0</v>
      </c>
      <c r="F11" s="6">
        <v>0</v>
      </c>
    </row>
    <row r="12" spans="1:7" ht="13.2" x14ac:dyDescent="0.25">
      <c r="A12" s="69">
        <v>45905</v>
      </c>
      <c r="B12" t="s">
        <v>125</v>
      </c>
      <c r="C12" s="20" t="s">
        <v>156</v>
      </c>
      <c r="D12" s="20">
        <v>3.75</v>
      </c>
      <c r="E12" s="20">
        <v>0</v>
      </c>
      <c r="F12" s="6">
        <v>0</v>
      </c>
    </row>
    <row r="13" spans="1:7" ht="13.2" x14ac:dyDescent="0.25">
      <c r="A13" s="69">
        <v>45915</v>
      </c>
      <c r="B13" t="s">
        <v>125</v>
      </c>
      <c r="C13" s="20" t="s">
        <v>154</v>
      </c>
      <c r="D13" s="20">
        <v>3.75</v>
      </c>
      <c r="E13" s="20">
        <v>0</v>
      </c>
      <c r="F13" s="6">
        <v>0</v>
      </c>
    </row>
    <row r="14" spans="1:7" ht="13.2" x14ac:dyDescent="0.25">
      <c r="A14" s="69">
        <v>45933</v>
      </c>
      <c r="B14" t="s">
        <v>125</v>
      </c>
      <c r="C14" s="20" t="s">
        <v>156</v>
      </c>
      <c r="D14" s="20">
        <v>1</v>
      </c>
      <c r="E14" s="20">
        <v>0</v>
      </c>
      <c r="F14" s="6">
        <v>0</v>
      </c>
    </row>
    <row r="15" spans="1:7" ht="13.2" x14ac:dyDescent="0.25">
      <c r="A15" s="2"/>
    </row>
    <row r="16" spans="1:7" ht="13.2" x14ac:dyDescent="0.25">
      <c r="A16" s="2"/>
    </row>
    <row r="17" spans="1:1" ht="17.399999999999999" x14ac:dyDescent="0.3">
      <c r="A17" s="16" t="s">
        <v>126</v>
      </c>
    </row>
    <row r="18" spans="1:1" ht="13.2" x14ac:dyDescent="0.25">
      <c r="A18" s="2"/>
    </row>
    <row r="19" spans="1:1" ht="13.2" x14ac:dyDescent="0.25">
      <c r="A19" s="2"/>
    </row>
    <row r="20" spans="1:1" ht="15.75" customHeight="1" x14ac:dyDescent="0.25">
      <c r="A20" s="2"/>
    </row>
    <row r="21" spans="1:1" ht="15.75" customHeight="1" x14ac:dyDescent="0.25">
      <c r="A21" s="2"/>
    </row>
    <row r="22" spans="1:1" ht="15.75" customHeight="1" x14ac:dyDescent="0.25">
      <c r="A22" s="2"/>
    </row>
    <row r="23" spans="1:1" ht="15.75" customHeight="1" x14ac:dyDescent="0.25">
      <c r="A23" s="2"/>
    </row>
    <row r="24" spans="1:1" ht="15.75" customHeight="1" x14ac:dyDescent="0.25">
      <c r="A24" s="2"/>
    </row>
    <row r="25" spans="1:1" ht="15.75" customHeight="1" x14ac:dyDescent="0.25">
      <c r="A25" s="2"/>
    </row>
    <row r="26" spans="1:1" ht="15.75" customHeight="1" x14ac:dyDescent="0.25">
      <c r="A26" s="2"/>
    </row>
    <row r="27" spans="1:1" ht="15.75" customHeight="1" x14ac:dyDescent="0.25">
      <c r="A27" s="2"/>
    </row>
    <row r="28" spans="1:1" ht="15.75" customHeight="1" x14ac:dyDescent="0.25">
      <c r="A28" s="2"/>
    </row>
    <row r="29" spans="1:1" ht="15.75" customHeight="1" x14ac:dyDescent="0.25">
      <c r="A29" s="2"/>
    </row>
    <row r="30" spans="1:1" ht="15.75" customHeight="1" x14ac:dyDescent="0.25">
      <c r="A30" s="2"/>
    </row>
    <row r="31" spans="1:1" ht="15.75" customHeight="1" x14ac:dyDescent="0.25">
      <c r="A31" s="2"/>
    </row>
    <row r="32" spans="1:1" ht="15.75" customHeight="1" x14ac:dyDescent="0.25">
      <c r="A32" s="2"/>
    </row>
    <row r="33" spans="1:1" ht="15.75" customHeight="1" x14ac:dyDescent="0.25">
      <c r="A33" s="2"/>
    </row>
    <row r="34" spans="1:1" ht="15.75" customHeight="1" x14ac:dyDescent="0.25">
      <c r="A34" s="2"/>
    </row>
    <row r="35" spans="1:1" ht="15.75" customHeight="1" x14ac:dyDescent="0.25">
      <c r="A35" s="2"/>
    </row>
    <row r="36" spans="1:1" ht="15.75" customHeight="1" x14ac:dyDescent="0.25">
      <c r="A36" s="2"/>
    </row>
    <row r="37" spans="1:1" ht="15.75" customHeight="1" x14ac:dyDescent="0.25">
      <c r="A37" s="2"/>
    </row>
    <row r="38" spans="1:1" ht="15.75" customHeight="1" x14ac:dyDescent="0.25">
      <c r="A38" s="2"/>
    </row>
    <row r="39" spans="1:1" ht="15.75" customHeight="1" x14ac:dyDescent="0.25">
      <c r="A39" s="2"/>
    </row>
    <row r="40" spans="1:1" ht="15.75" customHeight="1" x14ac:dyDescent="0.25">
      <c r="A40" s="2"/>
    </row>
    <row r="41" spans="1:1" ht="15.75" customHeight="1" x14ac:dyDescent="0.25">
      <c r="A41" s="2"/>
    </row>
    <row r="42" spans="1:1" ht="15.75" customHeight="1" x14ac:dyDescent="0.25">
      <c r="A42" s="2"/>
    </row>
    <row r="43" spans="1:1" ht="15.75" customHeight="1" x14ac:dyDescent="0.25">
      <c r="A43" s="2"/>
    </row>
    <row r="44" spans="1:1" ht="15.75" customHeight="1" x14ac:dyDescent="0.25">
      <c r="A44" s="2"/>
    </row>
    <row r="45" spans="1:1" ht="15.75" customHeight="1" x14ac:dyDescent="0.25">
      <c r="A45" s="2"/>
    </row>
    <row r="46" spans="1:1" ht="15.75" customHeight="1" x14ac:dyDescent="0.25">
      <c r="A46" s="2"/>
    </row>
    <row r="47" spans="1:1" ht="15.75" customHeight="1" x14ac:dyDescent="0.25">
      <c r="A47" s="2"/>
    </row>
    <row r="48" spans="1:1" ht="15.75" customHeight="1" x14ac:dyDescent="0.25">
      <c r="A48" s="2"/>
    </row>
    <row r="49" spans="1:1" ht="15.75" customHeight="1" x14ac:dyDescent="0.25">
      <c r="A49" s="2"/>
    </row>
    <row r="50" spans="1:1" ht="15.75" customHeight="1" x14ac:dyDescent="0.25">
      <c r="A50" s="2"/>
    </row>
    <row r="51" spans="1:1" ht="15.75" customHeight="1" x14ac:dyDescent="0.25">
      <c r="A51" s="2"/>
    </row>
    <row r="52" spans="1:1" ht="15.75" customHeight="1" x14ac:dyDescent="0.25">
      <c r="A52" s="2"/>
    </row>
    <row r="53" spans="1:1" ht="15.75" customHeight="1" x14ac:dyDescent="0.25">
      <c r="A53" s="2"/>
    </row>
    <row r="54" spans="1:1" ht="15.75" customHeight="1" x14ac:dyDescent="0.25">
      <c r="A54" s="2"/>
    </row>
    <row r="55" spans="1:1" ht="15.75" customHeight="1" x14ac:dyDescent="0.25">
      <c r="A55" s="2"/>
    </row>
    <row r="56" spans="1:1" ht="15.75" customHeight="1" x14ac:dyDescent="0.25">
      <c r="A56" s="2"/>
    </row>
    <row r="57" spans="1:1" ht="15.75" customHeight="1" x14ac:dyDescent="0.25">
      <c r="A57" s="2"/>
    </row>
    <row r="58" spans="1:1" ht="15.75" customHeight="1" x14ac:dyDescent="0.25">
      <c r="A58" s="2"/>
    </row>
    <row r="59" spans="1:1" ht="15.75" customHeight="1" x14ac:dyDescent="0.25">
      <c r="A59" s="2"/>
    </row>
    <row r="60" spans="1:1" ht="15.75" customHeight="1" x14ac:dyDescent="0.25">
      <c r="A60" s="2"/>
    </row>
    <row r="61" spans="1:1" ht="15.75" customHeight="1" x14ac:dyDescent="0.25">
      <c r="A61" s="2"/>
    </row>
    <row r="62" spans="1:1" ht="15.75" customHeight="1" x14ac:dyDescent="0.25">
      <c r="A62" s="2"/>
    </row>
    <row r="63" spans="1:1" ht="15.75" customHeight="1" x14ac:dyDescent="0.25">
      <c r="A63" s="2"/>
    </row>
    <row r="64" spans="1:1" ht="15.75" customHeight="1" x14ac:dyDescent="0.25">
      <c r="A64" s="2"/>
    </row>
    <row r="65" spans="1:1" ht="15.75" customHeight="1" x14ac:dyDescent="0.25">
      <c r="A65" s="2"/>
    </row>
    <row r="66" spans="1:1" ht="15.75" customHeight="1" x14ac:dyDescent="0.25">
      <c r="A66" s="2"/>
    </row>
    <row r="67" spans="1:1" ht="15.75" customHeight="1" x14ac:dyDescent="0.25">
      <c r="A67" s="2"/>
    </row>
    <row r="68" spans="1:1" ht="15.75" customHeight="1" x14ac:dyDescent="0.25">
      <c r="A68" s="2"/>
    </row>
    <row r="69" spans="1:1" ht="15.75" customHeight="1" x14ac:dyDescent="0.25">
      <c r="A69" s="2"/>
    </row>
    <row r="70" spans="1:1" ht="15.75" customHeight="1" x14ac:dyDescent="0.25">
      <c r="A70" s="2"/>
    </row>
    <row r="71" spans="1:1" ht="15.75" customHeight="1" x14ac:dyDescent="0.25">
      <c r="A71" s="2"/>
    </row>
    <row r="72" spans="1:1" ht="15.75" customHeight="1" x14ac:dyDescent="0.25">
      <c r="A72" s="2"/>
    </row>
    <row r="73" spans="1:1" ht="15.75" customHeight="1" x14ac:dyDescent="0.25">
      <c r="A73" s="2"/>
    </row>
    <row r="74" spans="1:1" ht="15.75" customHeight="1" x14ac:dyDescent="0.25">
      <c r="A74" s="2"/>
    </row>
    <row r="75" spans="1:1" ht="15.75" customHeight="1" x14ac:dyDescent="0.25">
      <c r="A75" s="2"/>
    </row>
    <row r="76" spans="1:1" ht="15.75" customHeight="1" x14ac:dyDescent="0.25">
      <c r="A76" s="2"/>
    </row>
    <row r="77" spans="1:1" ht="15.75" customHeight="1" x14ac:dyDescent="0.25">
      <c r="A77" s="2"/>
    </row>
    <row r="78" spans="1:1" ht="15.75" customHeight="1" x14ac:dyDescent="0.25">
      <c r="A78" s="2"/>
    </row>
    <row r="79" spans="1:1" ht="15.75" customHeight="1" x14ac:dyDescent="0.25">
      <c r="A79" s="2"/>
    </row>
    <row r="80" spans="1:1" ht="15.75" customHeight="1" x14ac:dyDescent="0.25">
      <c r="A80" s="2"/>
    </row>
    <row r="81" spans="1:1" ht="15.75" customHeight="1" x14ac:dyDescent="0.25">
      <c r="A81" s="2"/>
    </row>
    <row r="82" spans="1:1" ht="15.75" customHeight="1" x14ac:dyDescent="0.25">
      <c r="A82" s="2"/>
    </row>
    <row r="83" spans="1:1" ht="15.75" customHeight="1" x14ac:dyDescent="0.25">
      <c r="A83" s="2"/>
    </row>
    <row r="84" spans="1:1" ht="15.75" customHeight="1" x14ac:dyDescent="0.25">
      <c r="A84" s="2"/>
    </row>
    <row r="85" spans="1:1" ht="15.75" customHeight="1" x14ac:dyDescent="0.25">
      <c r="A85" s="2"/>
    </row>
    <row r="86" spans="1:1" ht="15.75" customHeight="1" x14ac:dyDescent="0.25">
      <c r="A86" s="2"/>
    </row>
    <row r="87" spans="1:1" ht="15.75" customHeight="1" x14ac:dyDescent="0.25">
      <c r="A87" s="2"/>
    </row>
    <row r="88" spans="1:1" ht="15.75" customHeight="1" x14ac:dyDescent="0.25">
      <c r="A88" s="2"/>
    </row>
    <row r="89" spans="1:1" ht="15.75" customHeight="1" x14ac:dyDescent="0.25">
      <c r="A89" s="2"/>
    </row>
    <row r="90" spans="1:1" ht="15.75" customHeight="1" x14ac:dyDescent="0.25">
      <c r="A90" s="2"/>
    </row>
    <row r="91" spans="1:1" ht="15.75" customHeight="1" x14ac:dyDescent="0.25">
      <c r="A91" s="2"/>
    </row>
    <row r="92" spans="1:1" ht="15.75" customHeight="1" x14ac:dyDescent="0.25">
      <c r="A92" s="2"/>
    </row>
    <row r="93" spans="1:1" ht="15.75" customHeight="1" x14ac:dyDescent="0.25">
      <c r="A93" s="2"/>
    </row>
    <row r="94" spans="1:1" ht="15.75" customHeight="1" x14ac:dyDescent="0.25">
      <c r="A94" s="2"/>
    </row>
    <row r="95" spans="1:1" ht="15.75" customHeight="1" x14ac:dyDescent="0.25">
      <c r="A95" s="2"/>
    </row>
    <row r="96" spans="1:1" ht="15.75" customHeight="1" x14ac:dyDescent="0.25">
      <c r="A96" s="2"/>
    </row>
    <row r="97" spans="1:1" ht="15.75" customHeight="1" x14ac:dyDescent="0.25">
      <c r="A97" s="2"/>
    </row>
    <row r="98" spans="1:1" ht="15.75" customHeight="1" x14ac:dyDescent="0.25">
      <c r="A98" s="2"/>
    </row>
    <row r="99" spans="1:1" ht="15.75" customHeight="1" x14ac:dyDescent="0.25">
      <c r="A99" s="2"/>
    </row>
    <row r="100" spans="1:1" ht="15.75" customHeight="1" x14ac:dyDescent="0.25">
      <c r="A100" s="2"/>
    </row>
    <row r="101" spans="1:1" ht="15.75" customHeight="1" x14ac:dyDescent="0.25">
      <c r="A101" s="2"/>
    </row>
    <row r="102" spans="1:1" ht="15.75" customHeight="1" x14ac:dyDescent="0.25">
      <c r="A102" s="2"/>
    </row>
    <row r="103" spans="1:1" ht="15.75" customHeight="1" x14ac:dyDescent="0.25">
      <c r="A103" s="2"/>
    </row>
    <row r="104" spans="1:1" ht="15.75" customHeight="1" x14ac:dyDescent="0.25">
      <c r="A104" s="2"/>
    </row>
    <row r="105" spans="1:1" ht="15.75" customHeight="1" x14ac:dyDescent="0.25">
      <c r="A105" s="2"/>
    </row>
    <row r="106" spans="1:1" ht="15.75" customHeight="1" x14ac:dyDescent="0.25">
      <c r="A106" s="2"/>
    </row>
    <row r="107" spans="1:1" ht="15.75" customHeight="1" x14ac:dyDescent="0.25">
      <c r="A107" s="2"/>
    </row>
    <row r="108" spans="1:1" ht="15.75" customHeight="1" x14ac:dyDescent="0.25">
      <c r="A108" s="2"/>
    </row>
    <row r="109" spans="1:1" ht="15.75" customHeight="1" x14ac:dyDescent="0.25">
      <c r="A109" s="2"/>
    </row>
    <row r="110" spans="1:1" ht="15.75" customHeight="1" x14ac:dyDescent="0.25">
      <c r="A110" s="2"/>
    </row>
    <row r="111" spans="1:1" ht="15.75" customHeight="1" x14ac:dyDescent="0.25">
      <c r="A111" s="2"/>
    </row>
    <row r="112" spans="1:1" ht="15.75" customHeight="1" x14ac:dyDescent="0.25">
      <c r="A112" s="2"/>
    </row>
    <row r="113" spans="1:1" ht="15.75" customHeight="1" x14ac:dyDescent="0.25">
      <c r="A113" s="2"/>
    </row>
    <row r="114" spans="1:1" ht="15.75" customHeight="1" x14ac:dyDescent="0.25">
      <c r="A114" s="2"/>
    </row>
    <row r="115" spans="1:1" ht="15.75" customHeight="1" x14ac:dyDescent="0.25">
      <c r="A115" s="2"/>
    </row>
    <row r="116" spans="1:1" ht="15.75" customHeight="1" x14ac:dyDescent="0.25">
      <c r="A116" s="2"/>
    </row>
    <row r="117" spans="1:1" ht="15.75" customHeight="1" x14ac:dyDescent="0.25">
      <c r="A117" s="2"/>
    </row>
    <row r="118" spans="1:1" ht="15.75" customHeight="1" x14ac:dyDescent="0.25">
      <c r="A118" s="2"/>
    </row>
    <row r="119" spans="1:1" ht="15.75" customHeight="1" x14ac:dyDescent="0.25">
      <c r="A119" s="2"/>
    </row>
    <row r="120" spans="1:1" ht="15.75" customHeight="1" x14ac:dyDescent="0.25">
      <c r="A120" s="2"/>
    </row>
    <row r="121" spans="1:1" ht="15.75" customHeight="1" x14ac:dyDescent="0.25">
      <c r="A121" s="2"/>
    </row>
    <row r="122" spans="1:1" ht="15.75" customHeight="1" x14ac:dyDescent="0.25">
      <c r="A122" s="2"/>
    </row>
    <row r="123" spans="1:1" ht="15.75" customHeight="1" x14ac:dyDescent="0.25">
      <c r="A123" s="2"/>
    </row>
    <row r="124" spans="1:1" ht="15.75" customHeight="1" x14ac:dyDescent="0.25">
      <c r="A124" s="2"/>
    </row>
    <row r="125" spans="1:1" ht="15.75" customHeight="1" x14ac:dyDescent="0.25">
      <c r="A125" s="2"/>
    </row>
    <row r="126" spans="1:1" ht="15.75" customHeight="1" x14ac:dyDescent="0.25">
      <c r="A126" s="2"/>
    </row>
    <row r="127" spans="1:1" ht="15.75" customHeight="1" x14ac:dyDescent="0.25">
      <c r="A127" s="2"/>
    </row>
    <row r="128" spans="1:1" ht="15.75" customHeight="1" x14ac:dyDescent="0.25">
      <c r="A128" s="2"/>
    </row>
    <row r="129" spans="1:1" ht="15.75" customHeight="1" x14ac:dyDescent="0.25">
      <c r="A129" s="2"/>
    </row>
    <row r="130" spans="1:1" ht="15.75" customHeight="1" x14ac:dyDescent="0.25">
      <c r="A130" s="2"/>
    </row>
    <row r="131" spans="1:1" ht="15.75" customHeight="1" x14ac:dyDescent="0.25">
      <c r="A131" s="2"/>
    </row>
    <row r="132" spans="1:1" ht="15.75" customHeight="1" x14ac:dyDescent="0.25">
      <c r="A132" s="2"/>
    </row>
    <row r="133" spans="1:1" ht="15.75" customHeight="1" x14ac:dyDescent="0.25">
      <c r="A133" s="2"/>
    </row>
    <row r="134" spans="1:1" ht="15.75" customHeight="1" x14ac:dyDescent="0.25">
      <c r="A134" s="2"/>
    </row>
    <row r="135" spans="1:1" ht="15.75" customHeight="1" x14ac:dyDescent="0.25">
      <c r="A135" s="2"/>
    </row>
    <row r="136" spans="1:1" ht="15.75" customHeight="1" x14ac:dyDescent="0.25">
      <c r="A136" s="2"/>
    </row>
    <row r="137" spans="1:1" ht="15.75" customHeight="1" x14ac:dyDescent="0.25">
      <c r="A137" s="2"/>
    </row>
    <row r="138" spans="1:1" ht="15.75" customHeight="1" x14ac:dyDescent="0.25">
      <c r="A138" s="2"/>
    </row>
    <row r="139" spans="1:1" ht="15.75" customHeight="1" x14ac:dyDescent="0.25">
      <c r="A139" s="2"/>
    </row>
    <row r="140" spans="1:1" ht="15.75" customHeight="1" x14ac:dyDescent="0.25">
      <c r="A140" s="2"/>
    </row>
    <row r="141" spans="1:1" ht="15.75" customHeight="1" x14ac:dyDescent="0.25">
      <c r="A141" s="2"/>
    </row>
    <row r="142" spans="1:1" ht="15.75" customHeight="1" x14ac:dyDescent="0.25">
      <c r="A142" s="2"/>
    </row>
    <row r="143" spans="1:1" ht="15.75" customHeight="1" x14ac:dyDescent="0.25">
      <c r="A143" s="2"/>
    </row>
    <row r="144" spans="1:1" ht="15.75" customHeight="1" x14ac:dyDescent="0.25">
      <c r="A144" s="2"/>
    </row>
    <row r="145" spans="1:1" ht="15.75" customHeight="1" x14ac:dyDescent="0.25">
      <c r="A145" s="2"/>
    </row>
    <row r="146" spans="1:1" ht="15.75" customHeight="1" x14ac:dyDescent="0.25">
      <c r="A146" s="2"/>
    </row>
    <row r="147" spans="1:1" ht="15.75" customHeight="1" x14ac:dyDescent="0.25">
      <c r="A147" s="2"/>
    </row>
    <row r="148" spans="1:1" ht="15.75" customHeight="1" x14ac:dyDescent="0.25">
      <c r="A148" s="2"/>
    </row>
    <row r="149" spans="1:1" ht="15.75" customHeight="1" x14ac:dyDescent="0.25">
      <c r="A149" s="2"/>
    </row>
    <row r="150" spans="1:1" ht="15.75" customHeight="1" x14ac:dyDescent="0.25">
      <c r="A150" s="2"/>
    </row>
    <row r="151" spans="1:1" ht="15.75" customHeight="1" x14ac:dyDescent="0.25">
      <c r="A151" s="2"/>
    </row>
    <row r="152" spans="1:1" ht="15.75" customHeight="1" x14ac:dyDescent="0.25">
      <c r="A152" s="2"/>
    </row>
    <row r="153" spans="1:1" ht="15.75" customHeight="1" x14ac:dyDescent="0.25">
      <c r="A153" s="2"/>
    </row>
    <row r="154" spans="1:1" ht="15.75" customHeight="1" x14ac:dyDescent="0.25">
      <c r="A154" s="2"/>
    </row>
    <row r="155" spans="1:1" ht="15.75" customHeight="1" x14ac:dyDescent="0.25">
      <c r="A155" s="2"/>
    </row>
    <row r="156" spans="1:1" ht="15.75" customHeight="1" x14ac:dyDescent="0.25">
      <c r="A156" s="2"/>
    </row>
    <row r="157" spans="1:1" ht="15.75" customHeight="1" x14ac:dyDescent="0.25">
      <c r="A157" s="2"/>
    </row>
    <row r="158" spans="1:1" ht="15.75" customHeight="1" x14ac:dyDescent="0.25">
      <c r="A158" s="2"/>
    </row>
    <row r="159" spans="1:1" ht="15.75" customHeight="1" x14ac:dyDescent="0.25">
      <c r="A159" s="2"/>
    </row>
    <row r="160" spans="1:1" ht="15.75" customHeight="1" x14ac:dyDescent="0.25">
      <c r="A160" s="2"/>
    </row>
    <row r="161" spans="1:1" ht="15.75" customHeight="1" x14ac:dyDescent="0.25">
      <c r="A161" s="2"/>
    </row>
    <row r="162" spans="1:1" ht="15.75" customHeight="1" x14ac:dyDescent="0.25">
      <c r="A162" s="2"/>
    </row>
    <row r="163" spans="1:1" ht="15.75" customHeight="1" x14ac:dyDescent="0.25">
      <c r="A163" s="2"/>
    </row>
    <row r="164" spans="1:1" ht="15.75" customHeight="1" x14ac:dyDescent="0.25">
      <c r="A164" s="2"/>
    </row>
    <row r="165" spans="1:1" ht="15.75" customHeight="1" x14ac:dyDescent="0.25">
      <c r="A165" s="2"/>
    </row>
    <row r="166" spans="1:1" ht="15.75" customHeight="1" x14ac:dyDescent="0.25">
      <c r="A166" s="2"/>
    </row>
    <row r="167" spans="1:1" ht="15.75" customHeight="1" x14ac:dyDescent="0.25">
      <c r="A167" s="2"/>
    </row>
    <row r="168" spans="1:1" ht="15.75" customHeight="1" x14ac:dyDescent="0.25">
      <c r="A168" s="2"/>
    </row>
    <row r="169" spans="1:1" ht="15.75" customHeight="1" x14ac:dyDescent="0.25">
      <c r="A169" s="2"/>
    </row>
    <row r="170" spans="1:1" ht="15.75" customHeight="1" x14ac:dyDescent="0.25">
      <c r="A170" s="2"/>
    </row>
    <row r="171" spans="1:1" ht="15.75" customHeight="1" x14ac:dyDescent="0.25">
      <c r="A171" s="2"/>
    </row>
    <row r="172" spans="1:1" ht="15.75" customHeight="1" x14ac:dyDescent="0.25">
      <c r="A172" s="2"/>
    </row>
    <row r="173" spans="1:1" ht="15.75" customHeight="1" x14ac:dyDescent="0.25">
      <c r="A173" s="2"/>
    </row>
    <row r="174" spans="1:1" ht="15.75" customHeight="1" x14ac:dyDescent="0.25"/>
    <row r="175" spans="1:1" ht="15.75" customHeight="1" x14ac:dyDescent="0.25"/>
    <row r="176" spans="1:1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AFD0-2FFC-48BC-B80F-726C4A430B25}">
  <dimension ref="A1:AG200"/>
  <sheetViews>
    <sheetView topLeftCell="A50" workbookViewId="0">
      <selection activeCell="E59" sqref="E59"/>
    </sheetView>
  </sheetViews>
  <sheetFormatPr defaultRowHeight="13.2" x14ac:dyDescent="0.25"/>
  <cols>
    <col min="1" max="1" width="9.88671875" customWidth="1"/>
    <col min="3" max="3" width="15.88671875" customWidth="1"/>
    <col min="4" max="4" width="8.21875" customWidth="1"/>
    <col min="5" max="5" width="10.88671875" customWidth="1"/>
    <col min="6" max="6" width="8.21875" customWidth="1"/>
    <col min="7" max="7" width="29.5546875" customWidth="1"/>
    <col min="8" max="8" width="10.21875" hidden="1" customWidth="1"/>
    <col min="27" max="27" width="10.21875" bestFit="1" customWidth="1"/>
    <col min="28" max="28" width="7.6640625" bestFit="1" customWidth="1"/>
    <col min="29" max="29" width="13.6640625" bestFit="1" customWidth="1"/>
    <col min="30" max="30" width="6.109375" bestFit="1" customWidth="1"/>
    <col min="31" max="31" width="10.77734375" bestFit="1" customWidth="1"/>
    <col min="32" max="32" width="8.5546875" bestFit="1" customWidth="1"/>
    <col min="33" max="33" width="28.21875" bestFit="1" customWidth="1"/>
  </cols>
  <sheetData>
    <row r="1" spans="1:33" ht="17.399999999999999" x14ac:dyDescent="0.3">
      <c r="D1" s="41" t="s">
        <v>127</v>
      </c>
    </row>
    <row r="3" spans="1:33" ht="15.6" x14ac:dyDescent="0.3">
      <c r="A3" s="43" t="s">
        <v>128</v>
      </c>
      <c r="B3" s="44"/>
      <c r="C3" s="44"/>
      <c r="D3" s="44"/>
      <c r="E3" s="44"/>
      <c r="F3" s="44"/>
      <c r="G3" s="44"/>
      <c r="H3" s="45"/>
    </row>
    <row r="4" spans="1:33" ht="15.6" x14ac:dyDescent="0.3">
      <c r="A4" s="46" t="s">
        <v>177</v>
      </c>
      <c r="B4" s="42"/>
      <c r="C4" s="42"/>
      <c r="D4" s="42"/>
      <c r="E4" s="42"/>
      <c r="F4" s="42"/>
      <c r="G4" s="42"/>
      <c r="H4" s="47"/>
    </row>
    <row r="5" spans="1:33" ht="15.6" x14ac:dyDescent="0.3">
      <c r="A5" s="48" t="s">
        <v>178</v>
      </c>
      <c r="B5" s="49"/>
      <c r="C5" s="50"/>
      <c r="D5" s="50"/>
      <c r="E5" s="50"/>
      <c r="F5" s="50"/>
      <c r="G5" s="50"/>
      <c r="H5" s="51"/>
    </row>
    <row r="7" spans="1:33" x14ac:dyDescent="0.25">
      <c r="A7" s="52" t="s">
        <v>120</v>
      </c>
      <c r="B7" s="53" t="s">
        <v>13</v>
      </c>
      <c r="C7" s="53" t="s">
        <v>129</v>
      </c>
      <c r="D7" s="53" t="s">
        <v>130</v>
      </c>
      <c r="E7" s="54" t="s">
        <v>131</v>
      </c>
      <c r="F7" s="53" t="s">
        <v>14</v>
      </c>
      <c r="G7" s="53" t="s">
        <v>132</v>
      </c>
      <c r="H7" s="55" t="s">
        <v>133</v>
      </c>
      <c r="AA7" t="s">
        <v>120</v>
      </c>
      <c r="AB7" t="s">
        <v>13</v>
      </c>
      <c r="AC7" t="s">
        <v>129</v>
      </c>
      <c r="AD7" t="s">
        <v>130</v>
      </c>
      <c r="AE7" t="s">
        <v>131</v>
      </c>
      <c r="AF7" t="s">
        <v>14</v>
      </c>
      <c r="AG7" t="s">
        <v>132</v>
      </c>
    </row>
    <row r="8" spans="1:33" x14ac:dyDescent="0.25">
      <c r="A8" s="56" t="str" cm="1">
        <f t="array" ref="A8">IF(INDEX($AA:$AA, INT((ROW(A8)-8)/4)+8)="","",IF(MOD(ROW(A8)-8,4)=0, INDEX($AA:$AA, INT((ROW(A8)-8)/4)+8), ""))</f>
        <v>24148</v>
      </c>
      <c r="B8" t="str" cm="1">
        <f t="array" ref="B8">IF(INDEX($AB:$AB, INT((ROW(B8)-8)/4)+8)="","", IF(MOD(ROW(B8)-8,4)=0, INDEX($AB:$AB, INT((ROW(B8)-8)/4)+8), ""))</f>
        <v>03-APR</v>
      </c>
      <c r="E8" t="str" cm="1">
        <f t="array" ref="E8">IF(INDEX($AE:$AE, INT((ROW(E8)-8)/4)+8)="","", IF(MOD(ROW(E8)-8,4)=0, INDEX($AE:$AE, INT((ROW(E8)-8)/4)+8), IF(MOD(ROW(E8)-8,4)=3, "Total Hours", "")))</f>
        <v>1110</v>
      </c>
      <c r="F8" s="20" cm="1">
        <f t="array" aca="1" ref="F8" ca="1">IF(INDEX($AF:$AF, INT((ROW(F8)-8)/4)+8)="","",
   IF(MOD(ROW(F8)-8,4)=0,
      INDEX($AF:$AF, INT((ROW(F8)-8)/4)+8),
      IF(MOD(ROW(F8)-8,4)=3,
         SUM(OFFSET(F8,-3,0,3,1)),
      "")
   )
)</f>
        <v>2</v>
      </c>
      <c r="G8" t="str" cm="1">
        <f t="array" ref="G8">IF(INDEX($AG:$AG, INT((ROW(G8)-8)/4)+8)="","",
   IF(MOD(ROW(G8)-8,4)=0,
      INDEX($AG:$AG, INT((ROW(G8)-8)/4)+8),
      ""
   )
)</f>
        <v>Code Mismatch, Hours Mismatch</v>
      </c>
      <c r="AA8" t="s">
        <v>125</v>
      </c>
      <c r="AB8" t="s">
        <v>134</v>
      </c>
      <c r="AC8" t="s">
        <v>135</v>
      </c>
      <c r="AD8" t="s">
        <v>135</v>
      </c>
      <c r="AE8" t="s">
        <v>152</v>
      </c>
      <c r="AF8">
        <v>2</v>
      </c>
      <c r="AG8" t="s">
        <v>136</v>
      </c>
    </row>
    <row r="9" spans="1:33" x14ac:dyDescent="0.25">
      <c r="A9" s="56" t="str" cm="1">
        <f t="array" ref="A9">IF(INDEX($AA:$AA, INT((ROW(A9)-8)/4)+8)="","",IF(MOD(ROW(A9)-8,4)=0, INDEX($AA:$AA, INT((ROW(A9)-8)/4)+8), ""))</f>
        <v/>
      </c>
      <c r="B9" t="str" cm="1">
        <f t="array" ref="B9">IF(INDEX($AB:$AB, INT((ROW(B9)-8)/4)+8)="","", IF(MOD(ROW(B9)-8,4)=0, INDEX($AB:$AB, INT((ROW(B9)-8)/4)+8), ""))</f>
        <v/>
      </c>
      <c r="C9" s="22"/>
      <c r="D9" s="22"/>
      <c r="E9" s="22"/>
      <c r="F9" s="66"/>
      <c r="G9" t="str" cm="1">
        <f t="array" ref="G9">IF(INDEX($AG:$AG, INT((ROW(G9)-8)/4)+8)="","",
   IF(MOD(ROW(G9)-8,4)=0,
      INDEX($AG:$AG, INT((ROW(G9)-8)/4)+8),
      ""
   )
)</f>
        <v/>
      </c>
      <c r="AA9" t="s">
        <v>125</v>
      </c>
      <c r="AB9" t="s">
        <v>137</v>
      </c>
      <c r="AC9" t="s">
        <v>135</v>
      </c>
      <c r="AD9" t="s">
        <v>135</v>
      </c>
      <c r="AE9" t="s">
        <v>152</v>
      </c>
      <c r="AF9">
        <v>2</v>
      </c>
      <c r="AG9" t="s">
        <v>136</v>
      </c>
    </row>
    <row r="10" spans="1:33" x14ac:dyDescent="0.25">
      <c r="A10" s="56" t="str" cm="1">
        <f t="array" ref="A10">IF(INDEX($AA:$AA, INT((ROW(A10)-8)/4)+8)="","",IF(MOD(ROW(A10)-8,4)=0, INDEX($AA:$AA, INT((ROW(A10)-8)/4)+8), ""))</f>
        <v/>
      </c>
      <c r="B10" t="str" cm="1">
        <f t="array" ref="B10">IF(INDEX($AB:$AB, INT((ROW(B10)-8)/4)+8)="","", IF(MOD(ROW(B10)-8,4)=0, INDEX($AB:$AB, INT((ROW(B10)-8)/4)+8), ""))</f>
        <v/>
      </c>
      <c r="C10" s="22"/>
      <c r="D10" s="22"/>
      <c r="E10" s="22" t="str" cm="1">
        <f t="array" ref="E10">IF(INDEX($AE:$AE, INT((ROW(E10)-8)/4)+8)="","", IF(MOD(ROW(E10)-8,4)=0, INDEX($AE:$AE, INT((ROW(E10)-8)/4)+8), IF(MOD(ROW(E10)-8,4)=3, "Total Hours", "")))</f>
        <v/>
      </c>
      <c r="F10" s="66"/>
      <c r="G10" t="str" cm="1">
        <f t="array" ref="G10">IF(INDEX($AG:$AG, INT((ROW(G10)-8)/4)+8)="","",
   IF(MOD(ROW(G10)-8,4)=0,
      INDEX($AG:$AG, INT((ROW(G10)-8)/4)+8),
      ""
   )
)</f>
        <v/>
      </c>
      <c r="AA10" t="s">
        <v>125</v>
      </c>
      <c r="AB10" t="s">
        <v>138</v>
      </c>
      <c r="AC10" t="s">
        <v>135</v>
      </c>
      <c r="AD10" t="s">
        <v>135</v>
      </c>
      <c r="AE10" t="s">
        <v>153</v>
      </c>
      <c r="AF10">
        <v>8</v>
      </c>
      <c r="AG10" t="s">
        <v>139</v>
      </c>
    </row>
    <row r="11" spans="1:33" ht="13.8" thickBot="1" x14ac:dyDescent="0.3">
      <c r="A11" s="56" t="str" cm="1">
        <f t="array" ref="A11">IF(INDEX($AA:$AA, INT((ROW(A11)-8)/4)+8)="","",IF(MOD(ROW(A11)-8,4)=0, INDEX($AA:$AA, INT((ROW(A11)-8)/4)+8), ""))</f>
        <v/>
      </c>
      <c r="B11" t="str" cm="1">
        <f t="array" ref="B11">IF(INDEX($AB:$AB, INT((ROW(B11)-8)/4)+8)="","", IF(MOD(ROW(B11)-8,4)=0, INDEX($AB:$AB, INT((ROW(B11)-8)/4)+8), ""))</f>
        <v/>
      </c>
      <c r="E11" t="str" cm="1">
        <f t="array" ref="E11">IF(INDEX($AE:$AE, INT((ROW(E11)-8)/4)+8)="","", IF(MOD(ROW(E11)-8,4)=0, INDEX($AE:$AE, INT((ROW(E11)-8)/4)+8), IF(MOD(ROW(E11)-8,4)=3, "Total Hours", "")))</f>
        <v>Total Hours</v>
      </c>
      <c r="F11" s="20" cm="1">
        <f t="array" aca="1" ref="F11" ca="1">IF(INDEX($AF:$AF, INT((ROW(F11)-8)/4)+8)="","",
   IF(MOD(ROW(F11)-8,4)=0,
      INDEX($AF:$AF, INT((ROW(F11)-8)/4)+8),
      IF(MOD(ROW(F11)-8,4)=3,
         SUM(OFFSET(F11,-3,0,3,1)),
      "")
   )
)</f>
        <v>2</v>
      </c>
      <c r="G11" t="str" cm="1">
        <f t="array" ref="G11">IF(INDEX($AG:$AG, INT((ROW(G11)-8)/4)+8)="","",
   IF(MOD(ROW(G11)-8,4)=0,
      INDEX($AG:$AG, INT((ROW(G11)-8)/4)+8),
      ""
   )
)</f>
        <v/>
      </c>
      <c r="J11" s="71" t="s">
        <v>179</v>
      </c>
      <c r="AA11" t="s">
        <v>125</v>
      </c>
      <c r="AB11" t="s">
        <v>140</v>
      </c>
      <c r="AC11" t="s">
        <v>135</v>
      </c>
      <c r="AD11" t="s">
        <v>135</v>
      </c>
      <c r="AE11" t="s">
        <v>154</v>
      </c>
      <c r="AF11">
        <v>2</v>
      </c>
      <c r="AG11" t="s">
        <v>136</v>
      </c>
    </row>
    <row r="12" spans="1:33" ht="16.2" thickTop="1" x14ac:dyDescent="0.3">
      <c r="A12" s="56" t="str" cm="1">
        <f t="array" ref="A12">IF(INDEX($AA:$AA, INT((ROW(A12)-8)/4)+8)="","",IF(MOD(ROW(A12)-8,4)=0, INDEX($AA:$AA, INT((ROW(A12)-8)/4)+8), ""))</f>
        <v>24148</v>
      </c>
      <c r="B12" t="str" cm="1">
        <f t="array" ref="B12">IF(INDEX($AB:$AB, INT((ROW(B12)-8)/4)+8)="","", IF(MOD(ROW(B12)-8,4)=0, INDEX($AB:$AB, INT((ROW(B12)-8)/4)+8), ""))</f>
        <v>04-APR</v>
      </c>
      <c r="E12" t="str" cm="1">
        <f t="array" ref="E12">IF(INDEX($AE:$AE, INT((ROW(E12)-8)/4)+8)="","", IF(MOD(ROW(E12)-8,4)=0, INDEX($AE:$AE, INT((ROW(E12)-8)/4)+8), IF(MOD(ROW(E12)-8,4)=3, "Total Hours", "")))</f>
        <v>1110</v>
      </c>
      <c r="F12" s="20" cm="1">
        <f t="array" aca="1" ref="F12" ca="1">IF(INDEX($AF:$AF, INT((ROW(F12)-8)/4)+8)="","",
   IF(MOD(ROW(F12)-8,4)=0,
      INDEX($AF:$AF, INT((ROW(F12)-8)/4)+8),
      IF(MOD(ROW(F12)-8,4)=3,
         SUM(OFFSET(F12,-3,0,3,1)),
      "")
   )
)</f>
        <v>2</v>
      </c>
      <c r="G12" t="str" cm="1">
        <f t="array" ref="G12">IF(INDEX($AG:$AG, INT((ROW(G12)-8)/4)+8)="","",
   IF(MOD(ROW(G12)-8,4)=0,
      INDEX($AG:$AG, INT((ROW(G12)-8)/4)+8),
      ""
   )
)</f>
        <v>Code Mismatch, Hours Mismatch</v>
      </c>
      <c r="J12" s="58"/>
      <c r="K12" s="59" t="s">
        <v>180</v>
      </c>
      <c r="L12" s="59"/>
      <c r="M12" s="60"/>
      <c r="AA12" t="s">
        <v>125</v>
      </c>
      <c r="AB12" t="s">
        <v>141</v>
      </c>
      <c r="AC12" t="s">
        <v>135</v>
      </c>
      <c r="AD12" t="s">
        <v>135</v>
      </c>
      <c r="AE12" t="s">
        <v>154</v>
      </c>
      <c r="AF12">
        <v>3.75</v>
      </c>
      <c r="AG12" t="s">
        <v>139</v>
      </c>
    </row>
    <row r="13" spans="1:33" ht="15.6" x14ac:dyDescent="0.3">
      <c r="A13" s="56" t="str" cm="1">
        <f t="array" ref="A13">IF(INDEX($AA:$AA, INT((ROW(A13)-8)/4)+8)="","",IF(MOD(ROW(A13)-8,4)=0, INDEX($AA:$AA, INT((ROW(A13)-8)/4)+8), ""))</f>
        <v/>
      </c>
      <c r="B13" t="str" cm="1">
        <f t="array" ref="B13">IF(INDEX($AB:$AB, INT((ROW(B13)-8)/4)+8)="","", IF(MOD(ROW(B13)-8,4)=0, INDEX($AB:$AB, INT((ROW(B13)-8)/4)+8), ""))</f>
        <v/>
      </c>
      <c r="C13" s="22"/>
      <c r="D13" s="22"/>
      <c r="E13" s="22" t="str" cm="1">
        <f t="array" ref="E13">IF(INDEX($AE:$AE, INT((ROW(E13)-8)/4)+8)="","", IF(MOD(ROW(E13)-8,4)=0, INDEX($AE:$AE, INT((ROW(E13)-8)/4)+8), IF(MOD(ROW(E13)-8,4)=3, "Total Hours", "")))</f>
        <v/>
      </c>
      <c r="F13" s="66"/>
      <c r="G13" t="str" cm="1">
        <f t="array" ref="G13">IF(INDEX($AG:$AG, INT((ROW(G13)-8)/4)+8)="","",
   IF(MOD(ROW(G13)-8,4)=0,
      INDEX($AG:$AG, INT((ROW(G13)-8)/4)+8),
      ""
   )
)</f>
        <v/>
      </c>
      <c r="J13" s="61"/>
      <c r="K13" s="42" t="s">
        <v>181</v>
      </c>
      <c r="L13" s="42"/>
      <c r="M13" s="62"/>
      <c r="AA13" t="s">
        <v>125</v>
      </c>
      <c r="AB13" t="s">
        <v>142</v>
      </c>
      <c r="AC13" t="s">
        <v>135</v>
      </c>
      <c r="AD13" t="s">
        <v>135</v>
      </c>
      <c r="AE13" t="s">
        <v>152</v>
      </c>
      <c r="AF13">
        <v>4</v>
      </c>
      <c r="AG13" t="s">
        <v>136</v>
      </c>
    </row>
    <row r="14" spans="1:33" x14ac:dyDescent="0.25">
      <c r="A14" s="56" t="str" cm="1">
        <f t="array" ref="A14">IF(INDEX($AA:$AA, INT((ROW(A14)-8)/4)+8)="","",IF(MOD(ROW(A14)-8,4)=0, INDEX($AA:$AA, INT((ROW(A14)-8)/4)+8), ""))</f>
        <v/>
      </c>
      <c r="B14" t="str" cm="1">
        <f t="array" ref="B14">IF(INDEX($AB:$AB, INT((ROW(B14)-8)/4)+8)="","", IF(MOD(ROW(B14)-8,4)=0, INDEX($AB:$AB, INT((ROW(B14)-8)/4)+8), ""))</f>
        <v/>
      </c>
      <c r="C14" s="22"/>
      <c r="D14" s="22"/>
      <c r="E14" s="22" t="str" cm="1">
        <f t="array" ref="E14">IF(INDEX($AE:$AE, INT((ROW(E14)-8)/4)+8)="","", IF(MOD(ROW(E14)-8,4)=0, INDEX($AE:$AE, INT((ROW(E14)-8)/4)+8), IF(MOD(ROW(E14)-8,4)=3, "Total Hours", "")))</f>
        <v/>
      </c>
      <c r="F14" s="66" t="str" cm="1">
        <f t="array" aca="1" ref="F14" ca="1">IF(INDEX($AF:$AF, INT((ROW(F14)-8)/4)+8)="","",
   IF(MOD(ROW(F14)-8,4)=0,
      INDEX($AF:$AF, INT((ROW(F14)-8)/4)+8),
      IF(MOD(ROW(F14)-8,4)=3,
         SUM(OFFSET(F14,-3,0,3,1)),
      "")
   )
)</f>
        <v/>
      </c>
      <c r="G14" t="str" cm="1">
        <f t="array" ref="G14">IF(INDEX($AG:$AG, INT((ROW(G14)-8)/4)+8)="","",
   IF(MOD(ROW(G14)-8,4)=0,
      INDEX($AG:$AG, INT((ROW(G14)-8)/4)+8),
      ""
   )
)</f>
        <v/>
      </c>
      <c r="J14" s="61"/>
      <c r="M14" s="62"/>
      <c r="AA14" t="s">
        <v>125</v>
      </c>
      <c r="AB14" t="s">
        <v>143</v>
      </c>
      <c r="AC14" t="s">
        <v>135</v>
      </c>
      <c r="AD14" t="s">
        <v>135</v>
      </c>
      <c r="AE14" t="s">
        <v>155</v>
      </c>
      <c r="AF14">
        <v>4</v>
      </c>
      <c r="AG14" t="s">
        <v>136</v>
      </c>
    </row>
    <row r="15" spans="1:33" x14ac:dyDescent="0.25">
      <c r="A15" s="56" t="str" cm="1">
        <f t="array" ref="A15">IF(INDEX($AA:$AA, INT((ROW(A15)-8)/4)+8)="","",IF(MOD(ROW(A15)-8,4)=0, INDEX($AA:$AA, INT((ROW(A15)-8)/4)+8), ""))</f>
        <v/>
      </c>
      <c r="B15" t="str" cm="1">
        <f t="array" ref="B15">IF(INDEX($AB:$AB, INT((ROW(B15)-8)/4)+8)="","", IF(MOD(ROW(B15)-8,4)=0, INDEX($AB:$AB, INT((ROW(B15)-8)/4)+8), ""))</f>
        <v/>
      </c>
      <c r="E15" t="str" cm="1">
        <f t="array" ref="E15">IF(INDEX($AE:$AE, INT((ROW(E15)-8)/4)+8)="","", IF(MOD(ROW(E15)-8,4)=0, INDEX($AE:$AE, INT((ROW(E15)-8)/4)+8), IF(MOD(ROW(E15)-8,4)=3, "Total Hours", "")))</f>
        <v>Total Hours</v>
      </c>
      <c r="F15" s="20" cm="1">
        <f t="array" aca="1" ref="F15" ca="1">IF(INDEX($AF:$AF, INT((ROW(F15)-8)/4)+8)="","",
   IF(MOD(ROW(F15)-8,4)=0,
      INDEX($AF:$AF, INT((ROW(F15)-8)/4)+8),
      IF(MOD(ROW(F15)-8,4)=3,
         SUM(OFFSET(F15,-3,0,3,1)),
      "")
   )
)</f>
        <v>2</v>
      </c>
      <c r="G15" t="str" cm="1">
        <f t="array" ref="G15">IF(INDEX($AG:$AG, INT((ROW(G15)-8)/4)+8)="","",
   IF(MOD(ROW(G15)-8,4)=0,
      INDEX($AG:$AG, INT((ROW(G15)-8)/4)+8),
      ""
   )
)</f>
        <v/>
      </c>
      <c r="J15" s="61"/>
      <c r="M15" s="62"/>
      <c r="AA15" t="s">
        <v>125</v>
      </c>
      <c r="AB15" t="s">
        <v>144</v>
      </c>
      <c r="AC15" t="s">
        <v>135</v>
      </c>
      <c r="AD15" t="s">
        <v>135</v>
      </c>
      <c r="AE15" t="s">
        <v>152</v>
      </c>
      <c r="AF15">
        <v>8</v>
      </c>
      <c r="AG15" t="s">
        <v>139</v>
      </c>
    </row>
    <row r="16" spans="1:33" ht="15.6" x14ac:dyDescent="0.3">
      <c r="A16" s="56" t="str" cm="1">
        <f t="array" ref="A16">IF(INDEX($AA:$AA, INT((ROW(A16)-8)/4)+8)="","",IF(MOD(ROW(A16)-8,4)=0, INDEX($AA:$AA, INT((ROW(A16)-8)/4)+8), ""))</f>
        <v>24148</v>
      </c>
      <c r="B16" t="str" cm="1">
        <f t="array" ref="B16">IF(INDEX($AB:$AB, INT((ROW(B16)-8)/4)+8)="","", IF(MOD(ROW(B16)-8,4)=0, INDEX($AB:$AB, INT((ROW(B16)-8)/4)+8), ""))</f>
        <v>08-APR</v>
      </c>
      <c r="E16" t="str" cm="1">
        <f t="array" ref="E16">IF(INDEX($AE:$AE, INT((ROW(E16)-8)/4)+8)="","", IF(MOD(ROW(E16)-8,4)=0, INDEX($AE:$AE, INT((ROW(E16)-8)/4)+8), IF(MOD(ROW(E16)-8,4)=3, "Total Hours", "")))</f>
        <v>1210</v>
      </c>
      <c r="F16" s="20" cm="1">
        <f t="array" aca="1" ref="F16" ca="1">IF(INDEX($AF:$AF, INT((ROW(F16)-8)/4)+8)="","",
   IF(MOD(ROW(F16)-8,4)=0,
      INDEX($AF:$AF, INT((ROW(F16)-8)/4)+8),
      IF(MOD(ROW(F16)-8,4)=3,
         SUM(OFFSET(F16,-3,0,3,1)),
      "")
   )
)</f>
        <v>8</v>
      </c>
      <c r="G16" t="str" cm="1">
        <f t="array" ref="G16">IF(INDEX($AG:$AG, INT((ROW(G16)-8)/4)+8)="","",
   IF(MOD(ROW(G16)-8,4)=0,
      INDEX($AG:$AG, INT((ROW(G16)-8)/4)+8),
      ""
   )
)</f>
        <v>Code Mismatch</v>
      </c>
      <c r="J16" s="61"/>
      <c r="K16" s="42" t="s">
        <v>186</v>
      </c>
      <c r="M16" s="62"/>
      <c r="AA16" t="s">
        <v>125</v>
      </c>
      <c r="AB16" t="s">
        <v>145</v>
      </c>
      <c r="AC16" t="s">
        <v>135</v>
      </c>
      <c r="AD16" t="s">
        <v>135</v>
      </c>
      <c r="AE16" t="s">
        <v>154</v>
      </c>
      <c r="AF16">
        <v>3.75</v>
      </c>
      <c r="AG16" t="s">
        <v>136</v>
      </c>
    </row>
    <row r="17" spans="1:33" ht="16.2" thickBot="1" x14ac:dyDescent="0.35">
      <c r="A17" s="56" t="str" cm="1">
        <f t="array" ref="A17">IF(INDEX($AA:$AA, INT((ROW(A17)-8)/4)+8)="","",IF(MOD(ROW(A17)-8,4)=0, INDEX($AA:$AA, INT((ROW(A17)-8)/4)+8), ""))</f>
        <v/>
      </c>
      <c r="B17" t="str" cm="1">
        <f t="array" ref="B17">IF(INDEX($AB:$AB, INT((ROW(B17)-8)/4)+8)="","", IF(MOD(ROW(B17)-8,4)=0, INDEX($AB:$AB, INT((ROW(B17)-8)/4)+8), ""))</f>
        <v/>
      </c>
      <c r="C17" s="22"/>
      <c r="D17" s="22"/>
      <c r="E17" s="22" t="str" cm="1">
        <f t="array" ref="E17">IF(INDEX($AE:$AE, INT((ROW(E17)-8)/4)+8)="","", IF(MOD(ROW(E17)-8,4)=0, INDEX($AE:$AE, INT((ROW(E17)-8)/4)+8), IF(MOD(ROW(E17)-8,4)=3, "Total Hours", "")))</f>
        <v/>
      </c>
      <c r="F17" s="66" t="str" cm="1">
        <f t="array" aca="1" ref="F17" ca="1">IF(INDEX($AF:$AF, INT((ROW(F17)-8)/4)+8)="","",
   IF(MOD(ROW(F17)-8,4)=0,
      INDEX($AF:$AF, INT((ROW(F17)-8)/4)+8),
      IF(MOD(ROW(F17)-8,4)=3,
         SUM(OFFSET(F17,-3,0,3,1)),
      "")
   )
)</f>
        <v/>
      </c>
      <c r="G17" t="str" cm="1">
        <f t="array" ref="G17">IF(INDEX($AG:$AG, INT((ROW(G17)-8)/4)+8)="","",
   IF(MOD(ROW(G17)-8,4)=0,
      INDEX($AG:$AG, INT((ROW(G17)-8)/4)+8),
      ""
   )
)</f>
        <v/>
      </c>
      <c r="J17" s="63"/>
      <c r="K17" s="70" t="s">
        <v>187</v>
      </c>
      <c r="L17" s="64"/>
      <c r="M17" s="65"/>
      <c r="AA17" t="s">
        <v>125</v>
      </c>
      <c r="AB17" t="s">
        <v>146</v>
      </c>
      <c r="AC17" t="s">
        <v>135</v>
      </c>
      <c r="AD17" t="s">
        <v>135</v>
      </c>
      <c r="AE17" t="s">
        <v>156</v>
      </c>
      <c r="AF17">
        <v>3.75</v>
      </c>
      <c r="AG17" t="s">
        <v>136</v>
      </c>
    </row>
    <row r="18" spans="1:33" ht="13.8" thickTop="1" x14ac:dyDescent="0.25">
      <c r="A18" s="56" t="str" cm="1">
        <f t="array" ref="A18">IF(INDEX($AA:$AA, INT((ROW(A18)-8)/4)+8)="","",IF(MOD(ROW(A18)-8,4)=0, INDEX($AA:$AA, INT((ROW(A18)-8)/4)+8), ""))</f>
        <v/>
      </c>
      <c r="B18" t="str" cm="1">
        <f t="array" ref="B18">IF(INDEX($AB:$AB, INT((ROW(B18)-8)/4)+8)="","", IF(MOD(ROW(B18)-8,4)=0, INDEX($AB:$AB, INT((ROW(B18)-8)/4)+8), ""))</f>
        <v/>
      </c>
      <c r="C18" s="22"/>
      <c r="D18" s="22"/>
      <c r="E18" s="22" t="str" cm="1">
        <f t="array" ref="E18">IF(INDEX($AE:$AE, INT((ROW(E18)-8)/4)+8)="","", IF(MOD(ROW(E18)-8,4)=0, INDEX($AE:$AE, INT((ROW(E18)-8)/4)+8), IF(MOD(ROW(E18)-8,4)=3, "Total Hours", "")))</f>
        <v/>
      </c>
      <c r="F18" s="66" t="str" cm="1">
        <f t="array" aca="1" ref="F18" ca="1">IF(INDEX($AF:$AF, INT((ROW(F18)-8)/4)+8)="","",
   IF(MOD(ROW(F18)-8,4)=0,
      INDEX($AF:$AF, INT((ROW(F18)-8)/4)+8),
      IF(MOD(ROW(F18)-8,4)=3,
         SUM(OFFSET(F18,-3,0,3,1)),
      "")
   )
)</f>
        <v/>
      </c>
      <c r="G18" t="str" cm="1">
        <f t="array" ref="G18">IF(INDEX($AG:$AG, INT((ROW(G18)-8)/4)+8)="","",
   IF(MOD(ROW(G18)-8,4)=0,
      INDEX($AG:$AG, INT((ROW(G18)-8)/4)+8),
      ""
   )
)</f>
        <v/>
      </c>
      <c r="AA18" t="s">
        <v>125</v>
      </c>
      <c r="AB18" t="s">
        <v>147</v>
      </c>
      <c r="AC18" t="s">
        <v>135</v>
      </c>
      <c r="AD18" t="s">
        <v>135</v>
      </c>
      <c r="AE18" t="s">
        <v>156</v>
      </c>
      <c r="AF18">
        <v>3.75</v>
      </c>
      <c r="AG18" t="s">
        <v>136</v>
      </c>
    </row>
    <row r="19" spans="1:33" x14ac:dyDescent="0.25">
      <c r="A19" s="56" t="str" cm="1">
        <f t="array" ref="A19">IF(INDEX($AA:$AA, INT((ROW(A19)-8)/4)+8)="","",IF(MOD(ROW(A19)-8,4)=0, INDEX($AA:$AA, INT((ROW(A19)-8)/4)+8), ""))</f>
        <v/>
      </c>
      <c r="B19" t="str" cm="1">
        <f t="array" ref="B19">IF(INDEX($AB:$AB, INT((ROW(B19)-8)/4)+8)="","", IF(MOD(ROW(B19)-8,4)=0, INDEX($AB:$AB, INT((ROW(B19)-8)/4)+8), ""))</f>
        <v/>
      </c>
      <c r="E19" t="str" cm="1">
        <f t="array" ref="E19">IF(INDEX($AE:$AE, INT((ROW(E19)-8)/4)+8)="","", IF(MOD(ROW(E19)-8,4)=0, INDEX($AE:$AE, INT((ROW(E19)-8)/4)+8), IF(MOD(ROW(E19)-8,4)=3, "Total Hours", "")))</f>
        <v>Total Hours</v>
      </c>
      <c r="F19" s="20" cm="1">
        <f t="array" aca="1" ref="F19" ca="1">IF(INDEX($AF:$AF, INT((ROW(F19)-8)/4)+8)="","",
   IF(MOD(ROW(F19)-8,4)=0,
      INDEX($AF:$AF, INT((ROW(F19)-8)/4)+8),
      IF(MOD(ROW(F19)-8,4)=3,
         SUM(OFFSET(F19,-3,0,3,1)),
      "")
   )
)</f>
        <v>8</v>
      </c>
      <c r="G19" t="str" cm="1">
        <f t="array" ref="G19">IF(INDEX($AG:$AG, INT((ROW(G19)-8)/4)+8)="","",
   IF(MOD(ROW(G19)-8,4)=0,
      INDEX($AG:$AG, INT((ROW(G19)-8)/4)+8),
      ""
   )
)</f>
        <v/>
      </c>
      <c r="AA19" t="s">
        <v>125</v>
      </c>
      <c r="AB19" t="s">
        <v>148</v>
      </c>
      <c r="AC19" t="s">
        <v>135</v>
      </c>
      <c r="AD19" t="s">
        <v>135</v>
      </c>
      <c r="AE19" t="s">
        <v>154</v>
      </c>
      <c r="AF19">
        <v>3.75</v>
      </c>
      <c r="AG19" t="s">
        <v>136</v>
      </c>
    </row>
    <row r="20" spans="1:33" x14ac:dyDescent="0.25">
      <c r="A20" s="56" t="str" cm="1">
        <f t="array" ref="A20">IF(INDEX($AA:$AA, INT((ROW(A20)-8)/4)+8)="","",IF(MOD(ROW(A20)-8,4)=0, INDEX($AA:$AA, INT((ROW(A20)-8)/4)+8), ""))</f>
        <v>24148</v>
      </c>
      <c r="B20" t="str" cm="1">
        <f t="array" ref="B20">IF(INDEX($AB:$AB, INT((ROW(B20)-8)/4)+8)="","", IF(MOD(ROW(B20)-8,4)=0, INDEX($AB:$AB, INT((ROW(B20)-8)/4)+8), ""))</f>
        <v>22-APR</v>
      </c>
      <c r="E20" t="str" cm="1">
        <f t="array" ref="E20">IF(INDEX($AE:$AE, INT((ROW(E20)-8)/4)+8)="","", IF(MOD(ROW(E20)-8,4)=0, INDEX($AE:$AE, INT((ROW(E20)-8)/4)+8), IF(MOD(ROW(E20)-8,4)=3, "Total Hours", "")))</f>
        <v>1410</v>
      </c>
      <c r="F20" s="20" cm="1">
        <f t="array" aca="1" ref="F20" ca="1">IF(INDEX($AF:$AF, INT((ROW(F20)-8)/4)+8)="","",
   IF(MOD(ROW(F20)-8,4)=0,
      INDEX($AF:$AF, INT((ROW(F20)-8)/4)+8),
      IF(MOD(ROW(F20)-8,4)=3,
         SUM(OFFSET(F20,-3,0,3,1)),
      "")
   )
)</f>
        <v>2</v>
      </c>
      <c r="G20" t="str" cm="1">
        <f t="array" ref="G20">IF(INDEX($AG:$AG, INT((ROW(G20)-8)/4)+8)="","",
   IF(MOD(ROW(G20)-8,4)=0,
      INDEX($AG:$AG, INT((ROW(G20)-8)/4)+8),
      ""
   )
)</f>
        <v>Code Mismatch, Hours Mismatch</v>
      </c>
      <c r="AA20" t="s">
        <v>125</v>
      </c>
      <c r="AB20" t="s">
        <v>149</v>
      </c>
      <c r="AC20" t="s">
        <v>135</v>
      </c>
      <c r="AD20" t="s">
        <v>135</v>
      </c>
      <c r="AE20" t="s">
        <v>156</v>
      </c>
      <c r="AF20">
        <v>1</v>
      </c>
      <c r="AG20" t="s">
        <v>136</v>
      </c>
    </row>
    <row r="21" spans="1:33" x14ac:dyDescent="0.25">
      <c r="A21" s="56" t="str" cm="1">
        <f t="array" ref="A21">IF(INDEX($AA:$AA, INT((ROW(A21)-8)/4)+8)="","",IF(MOD(ROW(A21)-8,4)=0, INDEX($AA:$AA, INT((ROW(A21)-8)/4)+8), ""))</f>
        <v/>
      </c>
      <c r="B21" t="str" cm="1">
        <f t="array" ref="B21">IF(INDEX($AB:$AB, INT((ROW(B21)-8)/4)+8)="","", IF(MOD(ROW(B21)-8,4)=0, INDEX($AB:$AB, INT((ROW(B21)-8)/4)+8), ""))</f>
        <v/>
      </c>
      <c r="C21" s="22"/>
      <c r="D21" s="22"/>
      <c r="E21" s="22" t="str" cm="1">
        <f t="array" ref="E21">IF(INDEX($AE:$AE, INT((ROW(E21)-8)/4)+8)="","", IF(MOD(ROW(E21)-8,4)=0, INDEX($AE:$AE, INT((ROW(E21)-8)/4)+8), IF(MOD(ROW(E21)-8,4)=3, "Total Hours", "")))</f>
        <v/>
      </c>
      <c r="F21" s="66" t="str" cm="1">
        <f t="array" aca="1" ref="F21" ca="1">IF(INDEX($AF:$AF, INT((ROW(F21)-8)/4)+8)="","",
   IF(MOD(ROW(F21)-8,4)=0,
      INDEX($AF:$AF, INT((ROW(F21)-8)/4)+8),
      IF(MOD(ROW(F21)-8,4)=3,
         SUM(OFFSET(F21,-3,0,3,1)),
      "")
   )
)</f>
        <v/>
      </c>
      <c r="G21" t="str" cm="1">
        <f t="array" ref="G21">IF(INDEX($AG:$AG, INT((ROW(G21)-8)/4)+8)="","",
   IF(MOD(ROW(G21)-8,4)=0,
      INDEX($AG:$AG, INT((ROW(G21)-8)/4)+8),
      ""
   )
)</f>
        <v/>
      </c>
    </row>
    <row r="22" spans="1:33" x14ac:dyDescent="0.25">
      <c r="A22" s="56" t="str" cm="1">
        <f t="array" ref="A22">IF(INDEX($AA:$AA, INT((ROW(A22)-8)/4)+8)="","",IF(MOD(ROW(A22)-8,4)=0, INDEX($AA:$AA, INT((ROW(A22)-8)/4)+8), ""))</f>
        <v/>
      </c>
      <c r="B22" t="str" cm="1">
        <f t="array" ref="B22">IF(INDEX($AB:$AB, INT((ROW(B22)-8)/4)+8)="","", IF(MOD(ROW(B22)-8,4)=0, INDEX($AB:$AB, INT((ROW(B22)-8)/4)+8), ""))</f>
        <v/>
      </c>
      <c r="C22" s="22"/>
      <c r="D22" s="22"/>
      <c r="E22" s="22" t="str" cm="1">
        <f t="array" ref="E22">IF(INDEX($AE:$AE, INT((ROW(E22)-8)/4)+8)="","", IF(MOD(ROW(E22)-8,4)=0, INDEX($AE:$AE, INT((ROW(E22)-8)/4)+8), IF(MOD(ROW(E22)-8,4)=3, "Total Hours", "")))</f>
        <v/>
      </c>
      <c r="F22" s="66" t="str" cm="1">
        <f t="array" aca="1" ref="F22" ca="1">IF(INDEX($AF:$AF, INT((ROW(F22)-8)/4)+8)="","",
   IF(MOD(ROW(F22)-8,4)=0,
      INDEX($AF:$AF, INT((ROW(F22)-8)/4)+8),
      IF(MOD(ROW(F22)-8,4)=3,
         SUM(OFFSET(F22,-3,0,3,1)),
      "")
   )
)</f>
        <v/>
      </c>
      <c r="G22" t="str" cm="1">
        <f t="array" ref="G22">IF(INDEX($AG:$AG, INT((ROW(G22)-8)/4)+8)="","",
   IF(MOD(ROW(G22)-8,4)=0,
      INDEX($AG:$AG, INT((ROW(G22)-8)/4)+8),
      ""
   )
)</f>
        <v/>
      </c>
    </row>
    <row r="23" spans="1:33" x14ac:dyDescent="0.25">
      <c r="A23" s="56" t="str" cm="1">
        <f t="array" ref="A23">IF(INDEX($AA:$AA, INT((ROW(A23)-8)/4)+8)="","",IF(MOD(ROW(A23)-8,4)=0, INDEX($AA:$AA, INT((ROW(A23)-8)/4)+8), ""))</f>
        <v/>
      </c>
      <c r="B23" t="str" cm="1">
        <f t="array" ref="B23">IF(INDEX($AB:$AB, INT((ROW(B23)-8)/4)+8)="","", IF(MOD(ROW(B23)-8,4)=0, INDEX($AB:$AB, INT((ROW(B23)-8)/4)+8), ""))</f>
        <v/>
      </c>
      <c r="E23" t="str" cm="1">
        <f t="array" ref="E23">IF(INDEX($AE:$AE, INT((ROW(E23)-8)/4)+8)="","", IF(MOD(ROW(E23)-8,4)=0, INDEX($AE:$AE, INT((ROW(E23)-8)/4)+8), IF(MOD(ROW(E23)-8,4)=3, "Total Hours", "")))</f>
        <v>Total Hours</v>
      </c>
      <c r="F23" s="20" cm="1">
        <f t="array" aca="1" ref="F23" ca="1">IF(INDEX($AF:$AF, INT((ROW(F23)-8)/4)+8)="","",
   IF(MOD(ROW(F23)-8,4)=0,
      INDEX($AF:$AF, INT((ROW(F23)-8)/4)+8),
      IF(MOD(ROW(F23)-8,4)=3,
         SUM(OFFSET(F23,-3,0,3,1)),
      "")
   )
)</f>
        <v>2</v>
      </c>
      <c r="G23" t="str" cm="1">
        <f t="array" ref="G23">IF(INDEX($AG:$AG, INT((ROW(G23)-8)/4)+8)="","",
   IF(MOD(ROW(G23)-8,4)=0,
      INDEX($AG:$AG, INT((ROW(G23)-8)/4)+8),
      ""
   )
)</f>
        <v/>
      </c>
    </row>
    <row r="24" spans="1:33" x14ac:dyDescent="0.25">
      <c r="A24" s="56" t="str" cm="1">
        <f t="array" ref="A24">IF(INDEX($AA:$AA, INT((ROW(A24)-8)/4)+8)="","",IF(MOD(ROW(A24)-8,4)=0, INDEX($AA:$AA, INT((ROW(A24)-8)/4)+8), ""))</f>
        <v>24148</v>
      </c>
      <c r="B24" t="str" cm="1">
        <f t="array" ref="B24">IF(INDEX($AB:$AB, INT((ROW(B24)-8)/4)+8)="","", IF(MOD(ROW(B24)-8,4)=0, INDEX($AB:$AB, INT((ROW(B24)-8)/4)+8), ""))</f>
        <v>28-APR</v>
      </c>
      <c r="E24" t="str" cm="1">
        <f t="array" ref="E24">IF(INDEX($AE:$AE, INT((ROW(E24)-8)/4)+8)="","", IF(MOD(ROW(E24)-8,4)=0, INDEX($AE:$AE, INT((ROW(E24)-8)/4)+8), IF(MOD(ROW(E24)-8,4)=3, "Total Hours", "")))</f>
        <v>1410</v>
      </c>
      <c r="F24" s="20" cm="1">
        <f t="array" aca="1" ref="F24" ca="1">IF(INDEX($AF:$AF, INT((ROW(F24)-8)/4)+8)="","",
   IF(MOD(ROW(F24)-8,4)=0,
      INDEX($AF:$AF, INT((ROW(F24)-8)/4)+8),
      IF(MOD(ROW(F24)-8,4)=3,
         SUM(OFFSET(F24,-3,0,3,1)),
      "")
   )
)</f>
        <v>3.75</v>
      </c>
      <c r="G24" t="str" cm="1">
        <f t="array" ref="G24">IF(INDEX($AG:$AG, INT((ROW(G24)-8)/4)+8)="","",
   IF(MOD(ROW(G24)-8,4)=0,
      INDEX($AG:$AG, INT((ROW(G24)-8)/4)+8),
      ""
   )
)</f>
        <v>Code Mismatch</v>
      </c>
    </row>
    <row r="25" spans="1:33" x14ac:dyDescent="0.25">
      <c r="A25" s="56" t="str" cm="1">
        <f t="array" ref="A25">IF(INDEX($AA:$AA, INT((ROW(A25)-8)/4)+8)="","",IF(MOD(ROW(A25)-8,4)=0, INDEX($AA:$AA, INT((ROW(A25)-8)/4)+8), ""))</f>
        <v/>
      </c>
      <c r="B25" t="str" cm="1">
        <f t="array" ref="B25">IF(INDEX($AB:$AB, INT((ROW(B25)-8)/4)+8)="","", IF(MOD(ROW(B25)-8,4)=0, INDEX($AB:$AB, INT((ROW(B25)-8)/4)+8), ""))</f>
        <v/>
      </c>
      <c r="C25" s="22"/>
      <c r="D25" s="22"/>
      <c r="E25" s="22" t="str" cm="1">
        <f t="array" ref="E25">IF(INDEX($AE:$AE, INT((ROW(E25)-8)/4)+8)="","", IF(MOD(ROW(E25)-8,4)=0, INDEX($AE:$AE, INT((ROW(E25)-8)/4)+8), IF(MOD(ROW(E25)-8,4)=3, "Total Hours", "")))</f>
        <v/>
      </c>
      <c r="F25" s="66" t="str" cm="1">
        <f t="array" aca="1" ref="F25" ca="1">IF(INDEX($AF:$AF, INT((ROW(F25)-8)/4)+8)="","",
   IF(MOD(ROW(F25)-8,4)=0,
      INDEX($AF:$AF, INT((ROW(F25)-8)/4)+8),
      IF(MOD(ROW(F25)-8,4)=3,
         SUM(OFFSET(F25,-3,0,3,1)),
      "")
   )
)</f>
        <v/>
      </c>
      <c r="G25" t="str" cm="1">
        <f t="array" ref="G25">IF(INDEX($AG:$AG, INT((ROW(G25)-8)/4)+8)="","",
   IF(MOD(ROW(G25)-8,4)=0,
      INDEX($AG:$AG, INT((ROW(G25)-8)/4)+8),
      ""
   )
)</f>
        <v/>
      </c>
    </row>
    <row r="26" spans="1:33" x14ac:dyDescent="0.25">
      <c r="A26" s="56" t="str" cm="1">
        <f t="array" ref="A26">IF(INDEX($AA:$AA, INT((ROW(A26)-8)/4)+8)="","",IF(MOD(ROW(A26)-8,4)=0, INDEX($AA:$AA, INT((ROW(A26)-8)/4)+8), ""))</f>
        <v/>
      </c>
      <c r="B26" t="str" cm="1">
        <f t="array" ref="B26">IF(INDEX($AB:$AB, INT((ROW(B26)-8)/4)+8)="","", IF(MOD(ROW(B26)-8,4)=0, INDEX($AB:$AB, INT((ROW(B26)-8)/4)+8), ""))</f>
        <v/>
      </c>
      <c r="C26" s="22"/>
      <c r="D26" s="22"/>
      <c r="E26" s="22" t="str" cm="1">
        <f t="array" ref="E26">IF(INDEX($AE:$AE, INT((ROW(E26)-8)/4)+8)="","", IF(MOD(ROW(E26)-8,4)=0, INDEX($AE:$AE, INT((ROW(E26)-8)/4)+8), IF(MOD(ROW(E26)-8,4)=3, "Total Hours", "")))</f>
        <v/>
      </c>
      <c r="F26" s="66" t="str" cm="1">
        <f t="array" aca="1" ref="F26" ca="1">IF(INDEX($AF:$AF, INT((ROW(F26)-8)/4)+8)="","",
   IF(MOD(ROW(F26)-8,4)=0,
      INDEX($AF:$AF, INT((ROW(F26)-8)/4)+8),
      IF(MOD(ROW(F26)-8,4)=3,
         SUM(OFFSET(F26,-3,0,3,1)),
      "")
   )
)</f>
        <v/>
      </c>
      <c r="G26" t="str" cm="1">
        <f t="array" ref="G26">IF(INDEX($AG:$AG, INT((ROW(G26)-8)/4)+8)="","",
   IF(MOD(ROW(G26)-8,4)=0,
      INDEX($AG:$AG, INT((ROW(G26)-8)/4)+8),
      ""
   )
)</f>
        <v/>
      </c>
    </row>
    <row r="27" spans="1:33" x14ac:dyDescent="0.25">
      <c r="A27" s="56" t="str" cm="1">
        <f t="array" ref="A27">IF(INDEX($AA:$AA, INT((ROW(A27)-8)/4)+8)="","",IF(MOD(ROW(A27)-8,4)=0, INDEX($AA:$AA, INT((ROW(A27)-8)/4)+8), ""))</f>
        <v/>
      </c>
      <c r="B27" t="str" cm="1">
        <f t="array" ref="B27">IF(INDEX($AB:$AB, INT((ROW(B27)-8)/4)+8)="","", IF(MOD(ROW(B27)-8,4)=0, INDEX($AB:$AB, INT((ROW(B27)-8)/4)+8), ""))</f>
        <v/>
      </c>
      <c r="E27" t="str" cm="1">
        <f t="array" ref="E27">IF(INDEX($AE:$AE, INT((ROW(E27)-8)/4)+8)="","", IF(MOD(ROW(E27)-8,4)=0, INDEX($AE:$AE, INT((ROW(E27)-8)/4)+8), IF(MOD(ROW(E27)-8,4)=3, "Total Hours", "")))</f>
        <v>Total Hours</v>
      </c>
      <c r="F27" s="20" cm="1">
        <f t="array" aca="1" ref="F27" ca="1">IF(INDEX($AF:$AF, INT((ROW(F27)-8)/4)+8)="","",
   IF(MOD(ROW(F27)-8,4)=0,
      INDEX($AF:$AF, INT((ROW(F27)-8)/4)+8),
      IF(MOD(ROW(F27)-8,4)=3,
         SUM(OFFSET(F27,-3,0,3,1)),
      "")
   )
)</f>
        <v>3.75</v>
      </c>
      <c r="G27" t="str" cm="1">
        <f t="array" ref="G27">IF(INDEX($AG:$AG, INT((ROW(G27)-8)/4)+8)="","",
   IF(MOD(ROW(G27)-8,4)=0,
      INDEX($AG:$AG, INT((ROW(G27)-8)/4)+8),
      ""
   )
)</f>
        <v/>
      </c>
    </row>
    <row r="28" spans="1:33" x14ac:dyDescent="0.25">
      <c r="A28" s="56" t="str" cm="1">
        <f t="array" ref="A28">IF(INDEX($AA:$AA, INT((ROW(A28)-8)/4)+8)="","",IF(MOD(ROW(A28)-8,4)=0, INDEX($AA:$AA, INT((ROW(A28)-8)/4)+8), ""))</f>
        <v>24148</v>
      </c>
      <c r="B28" t="str" cm="1">
        <f t="array" ref="B28">IF(INDEX($AB:$AB, INT((ROW(B28)-8)/4)+8)="","", IF(MOD(ROW(B28)-8,4)=0, INDEX($AB:$AB, INT((ROW(B28)-8)/4)+8), ""))</f>
        <v>22-MAY</v>
      </c>
      <c r="E28" t="str" cm="1">
        <f t="array" ref="E28">IF(INDEX($AE:$AE, INT((ROW(E28)-8)/4)+8)="","", IF(MOD(ROW(E28)-8,4)=0, INDEX($AE:$AE, INT((ROW(E28)-8)/4)+8), IF(MOD(ROW(E28)-8,4)=3, "Total Hours", "")))</f>
        <v>1110</v>
      </c>
      <c r="F28" s="20" cm="1">
        <f t="array" aca="1" ref="F28" ca="1">IF(INDEX($AF:$AF, INT((ROW(F28)-8)/4)+8)="","",
   IF(MOD(ROW(F28)-8,4)=0,
      INDEX($AF:$AF, INT((ROW(F28)-8)/4)+8),
      IF(MOD(ROW(F28)-8,4)=3,
         SUM(OFFSET(F28,-3,0,3,1)),
      "")
   )
)</f>
        <v>4</v>
      </c>
      <c r="G28" t="str" cm="1">
        <f t="array" ref="G28">IF(INDEX($AG:$AG, INT((ROW(G28)-8)/4)+8)="","",
   IF(MOD(ROW(G28)-8,4)=0,
      INDEX($AG:$AG, INT((ROW(G28)-8)/4)+8),
      ""
   )
)</f>
        <v>Code Mismatch, Hours Mismatch</v>
      </c>
    </row>
    <row r="29" spans="1:33" x14ac:dyDescent="0.25">
      <c r="A29" s="56" t="str" cm="1">
        <f t="array" ref="A29">IF(INDEX($AA:$AA, INT((ROW(A29)-8)/4)+8)="","",IF(MOD(ROW(A29)-8,4)=0, INDEX($AA:$AA, INT((ROW(A29)-8)/4)+8), ""))</f>
        <v/>
      </c>
      <c r="B29" t="str" cm="1">
        <f t="array" ref="B29">IF(INDEX($AB:$AB, INT((ROW(B29)-8)/4)+8)="","", IF(MOD(ROW(B29)-8,4)=0, INDEX($AB:$AB, INT((ROW(B29)-8)/4)+8), ""))</f>
        <v/>
      </c>
      <c r="C29" s="22"/>
      <c r="D29" s="22"/>
      <c r="E29" s="22" t="str" cm="1">
        <f t="array" ref="E29">IF(INDEX($AE:$AE, INT((ROW(E29)-8)/4)+8)="","", IF(MOD(ROW(E29)-8,4)=0, INDEX($AE:$AE, INT((ROW(E29)-8)/4)+8), IF(MOD(ROW(E29)-8,4)=3, "Total Hours", "")))</f>
        <v/>
      </c>
      <c r="F29" s="66" t="str" cm="1">
        <f t="array" aca="1" ref="F29" ca="1">IF(INDEX($AF:$AF, INT((ROW(F29)-8)/4)+8)="","",
   IF(MOD(ROW(F29)-8,4)=0,
      INDEX($AF:$AF, INT((ROW(F29)-8)/4)+8),
      IF(MOD(ROW(F29)-8,4)=3,
         SUM(OFFSET(F29,-3,0,3,1)),
      "")
   )
)</f>
        <v/>
      </c>
      <c r="G29" t="str" cm="1">
        <f t="array" ref="G29">IF(INDEX($AG:$AG, INT((ROW(G29)-8)/4)+8)="","",
   IF(MOD(ROW(G29)-8,4)=0,
      INDEX($AG:$AG, INT((ROW(G29)-8)/4)+8),
      ""
   )
)</f>
        <v/>
      </c>
    </row>
    <row r="30" spans="1:33" x14ac:dyDescent="0.25">
      <c r="A30" s="56" t="str" cm="1">
        <f t="array" ref="A30">IF(INDEX($AA:$AA, INT((ROW(A30)-8)/4)+8)="","",IF(MOD(ROW(A30)-8,4)=0, INDEX($AA:$AA, INT((ROW(A30)-8)/4)+8), ""))</f>
        <v/>
      </c>
      <c r="B30" t="str" cm="1">
        <f t="array" ref="B30">IF(INDEX($AB:$AB, INT((ROW(B30)-8)/4)+8)="","", IF(MOD(ROW(B30)-8,4)=0, INDEX($AB:$AB, INT((ROW(B30)-8)/4)+8), ""))</f>
        <v/>
      </c>
      <c r="C30" s="22"/>
      <c r="D30" s="22"/>
      <c r="E30" s="22" t="str" cm="1">
        <f t="array" ref="E30">IF(INDEX($AE:$AE, INT((ROW(E30)-8)/4)+8)="","", IF(MOD(ROW(E30)-8,4)=0, INDEX($AE:$AE, INT((ROW(E30)-8)/4)+8), IF(MOD(ROW(E30)-8,4)=3, "Total Hours", "")))</f>
        <v/>
      </c>
      <c r="F30" s="66" t="str" cm="1">
        <f t="array" aca="1" ref="F30" ca="1">IF(INDEX($AF:$AF, INT((ROW(F30)-8)/4)+8)="","",
   IF(MOD(ROW(F30)-8,4)=0,
      INDEX($AF:$AF, INT((ROW(F30)-8)/4)+8),
      IF(MOD(ROW(F30)-8,4)=3,
         SUM(OFFSET(F30,-3,0,3,1)),
      "")
   )
)</f>
        <v/>
      </c>
      <c r="G30" t="str" cm="1">
        <f t="array" ref="G30">IF(INDEX($AG:$AG, INT((ROW(G30)-8)/4)+8)="","",
   IF(MOD(ROW(G30)-8,4)=0,
      INDEX($AG:$AG, INT((ROW(G30)-8)/4)+8),
      ""
   )
)</f>
        <v/>
      </c>
    </row>
    <row r="31" spans="1:33" x14ac:dyDescent="0.25">
      <c r="A31" s="56" t="str" cm="1">
        <f t="array" ref="A31">IF(INDEX($AA:$AA, INT((ROW(A31)-8)/4)+8)="","",IF(MOD(ROW(A31)-8,4)=0, INDEX($AA:$AA, INT((ROW(A31)-8)/4)+8), ""))</f>
        <v/>
      </c>
      <c r="B31" t="str" cm="1">
        <f t="array" ref="B31">IF(INDEX($AB:$AB, INT((ROW(B31)-8)/4)+8)="","", IF(MOD(ROW(B31)-8,4)=0, INDEX($AB:$AB, INT((ROW(B31)-8)/4)+8), ""))</f>
        <v/>
      </c>
      <c r="E31" t="str" cm="1">
        <f t="array" ref="E31">IF(INDEX($AE:$AE, INT((ROW(E31)-8)/4)+8)="","", IF(MOD(ROW(E31)-8,4)=0, INDEX($AE:$AE, INT((ROW(E31)-8)/4)+8), IF(MOD(ROW(E31)-8,4)=3, "Total Hours", "")))</f>
        <v>Total Hours</v>
      </c>
      <c r="F31" s="20" cm="1">
        <f t="array" aca="1" ref="F31" ca="1">IF(INDEX($AF:$AF, INT((ROW(F31)-8)/4)+8)="","",
   IF(MOD(ROW(F31)-8,4)=0,
      INDEX($AF:$AF, INT((ROW(F31)-8)/4)+8),
      IF(MOD(ROW(F31)-8,4)=3,
         SUM(OFFSET(F31,-3,0,3,1)),
      "")
   )
)</f>
        <v>4</v>
      </c>
      <c r="G31" t="str" cm="1">
        <f t="array" ref="G31">IF(INDEX($AG:$AG, INT((ROW(G31)-8)/4)+8)="","",
   IF(MOD(ROW(G31)-8,4)=0,
      INDEX($AG:$AG, INT((ROW(G31)-8)/4)+8),
      ""
   )
)</f>
        <v/>
      </c>
    </row>
    <row r="32" spans="1:33" x14ac:dyDescent="0.25">
      <c r="A32" s="56" t="str" cm="1">
        <f t="array" ref="A32">IF(INDEX($AA:$AA, INT((ROW(A32)-8)/4)+8)="","",IF(MOD(ROW(A32)-8,4)=0, INDEX($AA:$AA, INT((ROW(A32)-8)/4)+8), ""))</f>
        <v>24148</v>
      </c>
      <c r="B32" t="str" cm="1">
        <f t="array" ref="B32">IF(INDEX($AB:$AB, INT((ROW(B32)-8)/4)+8)="","", IF(MOD(ROW(B32)-8,4)=0, INDEX($AB:$AB, INT((ROW(B32)-8)/4)+8), ""))</f>
        <v>29-MAY</v>
      </c>
      <c r="E32" t="str" cm="1">
        <f t="array" ref="E32">IF(INDEX($AE:$AE, INT((ROW(E32)-8)/4)+8)="","", IF(MOD(ROW(E32)-8,4)=0, INDEX($AE:$AE, INT((ROW(E32)-8)/4)+8), IF(MOD(ROW(E32)-8,4)=3, "Total Hours", "")))</f>
        <v>1220</v>
      </c>
      <c r="F32" s="20" cm="1">
        <f t="array" aca="1" ref="F32" ca="1">IF(INDEX($AF:$AF, INT((ROW(F32)-8)/4)+8)="","",
   IF(MOD(ROW(F32)-8,4)=0,
      INDEX($AF:$AF, INT((ROW(F32)-8)/4)+8),
      IF(MOD(ROW(F32)-8,4)=3,
         SUM(OFFSET(F32,-3,0,3,1)),
      "")
   )
)</f>
        <v>4</v>
      </c>
      <c r="G32" t="str" cm="1">
        <f t="array" ref="G32">IF(INDEX($AG:$AG, INT((ROW(G32)-8)/4)+8)="","",
   IF(MOD(ROW(G32)-8,4)=0,
      INDEX($AG:$AG, INT((ROW(G32)-8)/4)+8),
      ""
   )
)</f>
        <v>Code Mismatch, Hours Mismatch</v>
      </c>
    </row>
    <row r="33" spans="1:7" x14ac:dyDescent="0.25">
      <c r="A33" s="56" t="str" cm="1">
        <f t="array" ref="A33">IF(INDEX($AA:$AA, INT((ROW(A33)-8)/4)+8)="","",IF(MOD(ROW(A33)-8,4)=0, INDEX($AA:$AA, INT((ROW(A33)-8)/4)+8), ""))</f>
        <v/>
      </c>
      <c r="B33" t="str" cm="1">
        <f t="array" ref="B33">IF(INDEX($AB:$AB, INT((ROW(B33)-8)/4)+8)="","", IF(MOD(ROW(B33)-8,4)=0, INDEX($AB:$AB, INT((ROW(B33)-8)/4)+8), ""))</f>
        <v/>
      </c>
      <c r="C33" s="22"/>
      <c r="D33" s="22"/>
      <c r="E33" s="22" t="str" cm="1">
        <f t="array" ref="E33">IF(INDEX($AE:$AE, INT((ROW(E33)-8)/4)+8)="","", IF(MOD(ROW(E33)-8,4)=0, INDEX($AE:$AE, INT((ROW(E33)-8)/4)+8), IF(MOD(ROW(E33)-8,4)=3, "Total Hours", "")))</f>
        <v/>
      </c>
      <c r="F33" s="66" t="str" cm="1">
        <f t="array" aca="1" ref="F33" ca="1">IF(INDEX($AF:$AF, INT((ROW(F33)-8)/4)+8)="","",
   IF(MOD(ROW(F33)-8,4)=0,
      INDEX($AF:$AF, INT((ROW(F33)-8)/4)+8),
      IF(MOD(ROW(F33)-8,4)=3,
         SUM(OFFSET(F33,-3,0,3,1)),
      "")
   )
)</f>
        <v/>
      </c>
      <c r="G33" t="str" cm="1">
        <f t="array" ref="G33">IF(INDEX($AG:$AG, INT((ROW(G33)-8)/4)+8)="","",
   IF(MOD(ROW(G33)-8,4)=0,
      INDEX($AG:$AG, INT((ROW(G33)-8)/4)+8),
      ""
   )
)</f>
        <v/>
      </c>
    </row>
    <row r="34" spans="1:7" x14ac:dyDescent="0.25">
      <c r="A34" s="56" t="str" cm="1">
        <f t="array" ref="A34">IF(INDEX($AA:$AA, INT((ROW(A34)-8)/4)+8)="","",IF(MOD(ROW(A34)-8,4)=0, INDEX($AA:$AA, INT((ROW(A34)-8)/4)+8), ""))</f>
        <v/>
      </c>
      <c r="B34" t="str" cm="1">
        <f t="array" ref="B34">IF(INDEX($AB:$AB, INT((ROW(B34)-8)/4)+8)="","", IF(MOD(ROW(B34)-8,4)=0, INDEX($AB:$AB, INT((ROW(B34)-8)/4)+8), ""))</f>
        <v/>
      </c>
      <c r="C34" s="22"/>
      <c r="D34" s="22"/>
      <c r="E34" s="22" t="str" cm="1">
        <f t="array" ref="E34">IF(INDEX($AE:$AE, INT((ROW(E34)-8)/4)+8)="","", IF(MOD(ROW(E34)-8,4)=0, INDEX($AE:$AE, INT((ROW(E34)-8)/4)+8), IF(MOD(ROW(E34)-8,4)=3, "Total Hours", "")))</f>
        <v/>
      </c>
      <c r="F34" s="66" t="str" cm="1">
        <f t="array" aca="1" ref="F34" ca="1">IF(INDEX($AF:$AF, INT((ROW(F34)-8)/4)+8)="","",
   IF(MOD(ROW(F34)-8,4)=0,
      INDEX($AF:$AF, INT((ROW(F34)-8)/4)+8),
      IF(MOD(ROW(F34)-8,4)=3,
         SUM(OFFSET(F34,-3,0,3,1)),
      "")
   )
)</f>
        <v/>
      </c>
      <c r="G34" t="str" cm="1">
        <f t="array" ref="G34">IF(INDEX($AG:$AG, INT((ROW(G34)-8)/4)+8)="","",
   IF(MOD(ROW(G34)-8,4)=0,
      INDEX($AG:$AG, INT((ROW(G34)-8)/4)+8),
      ""
   )
)</f>
        <v/>
      </c>
    </row>
    <row r="35" spans="1:7" x14ac:dyDescent="0.25">
      <c r="A35" s="56" t="str" cm="1">
        <f t="array" ref="A35">IF(INDEX($AA:$AA, INT((ROW(A35)-8)/4)+8)="","",IF(MOD(ROW(A35)-8,4)=0, INDEX($AA:$AA, INT((ROW(A35)-8)/4)+8), ""))</f>
        <v/>
      </c>
      <c r="B35" t="str" cm="1">
        <f t="array" ref="B35">IF(INDEX($AB:$AB, INT((ROW(B35)-8)/4)+8)="","", IF(MOD(ROW(B35)-8,4)=0, INDEX($AB:$AB, INT((ROW(B35)-8)/4)+8), ""))</f>
        <v/>
      </c>
      <c r="E35" t="str" cm="1">
        <f t="array" ref="E35">IF(INDEX($AE:$AE, INT((ROW(E35)-8)/4)+8)="","", IF(MOD(ROW(E35)-8,4)=0, INDEX($AE:$AE, INT((ROW(E35)-8)/4)+8), IF(MOD(ROW(E35)-8,4)=3, "Total Hours", "")))</f>
        <v>Total Hours</v>
      </c>
      <c r="F35" s="20" cm="1">
        <f t="array" aca="1" ref="F35" ca="1">IF(INDEX($AF:$AF, INT((ROW(F35)-8)/4)+8)="","",
   IF(MOD(ROW(F35)-8,4)=0,
      INDEX($AF:$AF, INT((ROW(F35)-8)/4)+8),
      IF(MOD(ROW(F35)-8,4)=3,
         SUM(OFFSET(F35,-3,0,3,1)),
      "")
   )
)</f>
        <v>4</v>
      </c>
      <c r="G35" t="str" cm="1">
        <f t="array" ref="G35">IF(INDEX($AG:$AG, INT((ROW(G35)-8)/4)+8)="","",
   IF(MOD(ROW(G35)-8,4)=0,
      INDEX($AG:$AG, INT((ROW(G35)-8)/4)+8),
      ""
   )
)</f>
        <v/>
      </c>
    </row>
    <row r="36" spans="1:7" x14ac:dyDescent="0.25">
      <c r="A36" s="56" t="str" cm="1">
        <f t="array" ref="A36">IF(INDEX($AA:$AA, INT((ROW(A36)-8)/4)+8)="","",IF(MOD(ROW(A36)-8,4)=0, INDEX($AA:$AA, INT((ROW(A36)-8)/4)+8), ""))</f>
        <v>24148</v>
      </c>
      <c r="B36" t="str" cm="1">
        <f t="array" ref="B36">IF(INDEX($AB:$AB, INT((ROW(B36)-8)/4)+8)="","", IF(MOD(ROW(B36)-8,4)=0, INDEX($AB:$AB, INT((ROW(B36)-8)/4)+8), ""))</f>
        <v>11-JUN</v>
      </c>
      <c r="E36" t="str" cm="1">
        <f t="array" ref="E36">IF(INDEX($AE:$AE, INT((ROW(E36)-8)/4)+8)="","", IF(MOD(ROW(E36)-8,4)=0, INDEX($AE:$AE, INT((ROW(E36)-8)/4)+8), IF(MOD(ROW(E36)-8,4)=3, "Total Hours", "")))</f>
        <v>1110</v>
      </c>
      <c r="F36" s="20" cm="1">
        <f t="array" aca="1" ref="F36" ca="1">IF(INDEX($AF:$AF, INT((ROW(F36)-8)/4)+8)="","",
   IF(MOD(ROW(F36)-8,4)=0,
      INDEX($AF:$AF, INT((ROW(F36)-8)/4)+8),
      IF(MOD(ROW(F36)-8,4)=3,
         SUM(OFFSET(F36,-3,0,3,1)),
      "")
   )
)</f>
        <v>8</v>
      </c>
      <c r="G36" t="str" cm="1">
        <f t="array" ref="G36">IF(INDEX($AG:$AG, INT((ROW(G36)-8)/4)+8)="","",
   IF(MOD(ROW(G36)-8,4)=0,
      INDEX($AG:$AG, INT((ROW(G36)-8)/4)+8),
      ""
   )
)</f>
        <v>Code Mismatch</v>
      </c>
    </row>
    <row r="37" spans="1:7" x14ac:dyDescent="0.25">
      <c r="A37" s="56" t="str" cm="1">
        <f t="array" ref="A37">IF(INDEX($AA:$AA, INT((ROW(A37)-8)/4)+8)="","",IF(MOD(ROW(A37)-8,4)=0, INDEX($AA:$AA, INT((ROW(A37)-8)/4)+8), ""))</f>
        <v/>
      </c>
      <c r="B37" t="str" cm="1">
        <f t="array" ref="B37">IF(INDEX($AB:$AB, INT((ROW(B37)-8)/4)+8)="","", IF(MOD(ROW(B37)-8,4)=0, INDEX($AB:$AB, INT((ROW(B37)-8)/4)+8), ""))</f>
        <v/>
      </c>
      <c r="C37" s="22"/>
      <c r="D37" s="22"/>
      <c r="E37" s="22" t="str" cm="1">
        <f t="array" ref="E37">IF(INDEX($AE:$AE, INT((ROW(E37)-8)/4)+8)="","", IF(MOD(ROW(E37)-8,4)=0, INDEX($AE:$AE, INT((ROW(E37)-8)/4)+8), IF(MOD(ROW(E37)-8,4)=3, "Total Hours", "")))</f>
        <v/>
      </c>
      <c r="F37" s="66" t="str" cm="1">
        <f t="array" aca="1" ref="F37" ca="1">IF(INDEX($AF:$AF, INT((ROW(F37)-8)/4)+8)="","",
   IF(MOD(ROW(F37)-8,4)=0,
      INDEX($AF:$AF, INT((ROW(F37)-8)/4)+8),
      IF(MOD(ROW(F37)-8,4)=3,
         SUM(OFFSET(F37,-3,0,3,1)),
      "")
   )
)</f>
        <v/>
      </c>
      <c r="G37" t="str" cm="1">
        <f t="array" ref="G37">IF(INDEX($AG:$AG, INT((ROW(G37)-8)/4)+8)="","",
   IF(MOD(ROW(G37)-8,4)=0,
      INDEX($AG:$AG, INT((ROW(G37)-8)/4)+8),
      ""
   )
)</f>
        <v/>
      </c>
    </row>
    <row r="38" spans="1:7" x14ac:dyDescent="0.25">
      <c r="A38" s="56" t="str" cm="1">
        <f t="array" ref="A38">IF(INDEX($AA:$AA, INT((ROW(A38)-8)/4)+8)="","",IF(MOD(ROW(A38)-8,4)=0, INDEX($AA:$AA, INT((ROW(A38)-8)/4)+8), ""))</f>
        <v/>
      </c>
      <c r="B38" t="str" cm="1">
        <f t="array" ref="B38">IF(INDEX($AB:$AB, INT((ROW(B38)-8)/4)+8)="","", IF(MOD(ROW(B38)-8,4)=0, INDEX($AB:$AB, INT((ROW(B38)-8)/4)+8), ""))</f>
        <v/>
      </c>
      <c r="C38" s="22"/>
      <c r="D38" s="22"/>
      <c r="E38" s="22" t="str" cm="1">
        <f t="array" ref="E38">IF(INDEX($AE:$AE, INT((ROW(E38)-8)/4)+8)="","", IF(MOD(ROW(E38)-8,4)=0, INDEX($AE:$AE, INT((ROW(E38)-8)/4)+8), IF(MOD(ROW(E38)-8,4)=3, "Total Hours", "")))</f>
        <v/>
      </c>
      <c r="F38" s="66" t="str" cm="1">
        <f t="array" aca="1" ref="F38" ca="1">IF(INDEX($AF:$AF, INT((ROW(F38)-8)/4)+8)="","",
   IF(MOD(ROW(F38)-8,4)=0,
      INDEX($AF:$AF, INT((ROW(F38)-8)/4)+8),
      IF(MOD(ROW(F38)-8,4)=3,
         SUM(OFFSET(F38,-3,0,3,1)),
      "")
   )
)</f>
        <v/>
      </c>
      <c r="G38" t="str" cm="1">
        <f t="array" ref="G38">IF(INDEX($AG:$AG, INT((ROW(G38)-8)/4)+8)="","",
   IF(MOD(ROW(G38)-8,4)=0,
      INDEX($AG:$AG, INT((ROW(G38)-8)/4)+8),
      ""
   )
)</f>
        <v/>
      </c>
    </row>
    <row r="39" spans="1:7" x14ac:dyDescent="0.25">
      <c r="A39" s="56" t="str" cm="1">
        <f t="array" ref="A39">IF(INDEX($AA:$AA, INT((ROW(A39)-8)/4)+8)="","",IF(MOD(ROW(A39)-8,4)=0, INDEX($AA:$AA, INT((ROW(A39)-8)/4)+8), ""))</f>
        <v/>
      </c>
      <c r="B39" t="str" cm="1">
        <f t="array" ref="B39">IF(INDEX($AB:$AB, INT((ROW(B39)-8)/4)+8)="","", IF(MOD(ROW(B39)-8,4)=0, INDEX($AB:$AB, INT((ROW(B39)-8)/4)+8), ""))</f>
        <v/>
      </c>
      <c r="E39" t="str" cm="1">
        <f t="array" ref="E39">IF(INDEX($AE:$AE, INT((ROW(E39)-8)/4)+8)="","", IF(MOD(ROW(E39)-8,4)=0, INDEX($AE:$AE, INT((ROW(E39)-8)/4)+8), IF(MOD(ROW(E39)-8,4)=3, "Total Hours", "")))</f>
        <v>Total Hours</v>
      </c>
      <c r="F39" s="20" cm="1">
        <f t="array" aca="1" ref="F39" ca="1">IF(INDEX($AF:$AF, INT((ROW(F39)-8)/4)+8)="","",
   IF(MOD(ROW(F39)-8,4)=0,
      INDEX($AF:$AF, INT((ROW(F39)-8)/4)+8),
      IF(MOD(ROW(F39)-8,4)=3,
         SUM(OFFSET(F39,-3,0,3,1)),
      "")
   )
)</f>
        <v>8</v>
      </c>
      <c r="G39" t="str" cm="1">
        <f t="array" ref="G39">IF(INDEX($AG:$AG, INT((ROW(G39)-8)/4)+8)="","",
   IF(MOD(ROW(G39)-8,4)=0,
      INDEX($AG:$AG, INT((ROW(G39)-8)/4)+8),
      ""
   )
)</f>
        <v/>
      </c>
    </row>
    <row r="40" spans="1:7" x14ac:dyDescent="0.25">
      <c r="A40" s="56" t="str" cm="1">
        <f t="array" ref="A40">IF(INDEX($AA:$AA, INT((ROW(A40)-8)/4)+8)="","",IF(MOD(ROW(A40)-8,4)=0, INDEX($AA:$AA, INT((ROW(A40)-8)/4)+8), ""))</f>
        <v>24148</v>
      </c>
      <c r="B40" t="str" cm="1">
        <f t="array" ref="B40">IF(INDEX($AB:$AB, INT((ROW(B40)-8)/4)+8)="","", IF(MOD(ROW(B40)-8,4)=0, INDEX($AB:$AB, INT((ROW(B40)-8)/4)+8), ""))</f>
        <v>18-JUL</v>
      </c>
      <c r="E40" t="str" cm="1">
        <f t="array" ref="E40">IF(INDEX($AE:$AE, INT((ROW(E40)-8)/4)+8)="","", IF(MOD(ROW(E40)-8,4)=0, INDEX($AE:$AE, INT((ROW(E40)-8)/4)+8), IF(MOD(ROW(E40)-8,4)=3, "Total Hours", "")))</f>
        <v>1410</v>
      </c>
      <c r="F40" s="20" cm="1">
        <f t="array" aca="1" ref="F40" ca="1">IF(INDEX($AF:$AF, INT((ROW(F40)-8)/4)+8)="","",
   IF(MOD(ROW(F40)-8,4)=0,
      INDEX($AF:$AF, INT((ROW(F40)-8)/4)+8),
      IF(MOD(ROW(F40)-8,4)=3,
         SUM(OFFSET(F40,-3,0,3,1)),
      "")
   )
)</f>
        <v>3.75</v>
      </c>
      <c r="G40" t="str" cm="1">
        <f t="array" ref="G40">IF(INDEX($AG:$AG, INT((ROW(G40)-8)/4)+8)="","",
   IF(MOD(ROW(G40)-8,4)=0,
      INDEX($AG:$AG, INT((ROW(G40)-8)/4)+8),
      ""
   )
)</f>
        <v>Code Mismatch, Hours Mismatch</v>
      </c>
    </row>
    <row r="41" spans="1:7" x14ac:dyDescent="0.25">
      <c r="A41" s="56" t="str" cm="1">
        <f t="array" ref="A41">IF(INDEX($AA:$AA, INT((ROW(A41)-8)/4)+8)="","",IF(MOD(ROW(A41)-8,4)=0, INDEX($AA:$AA, INT((ROW(A41)-8)/4)+8), ""))</f>
        <v/>
      </c>
      <c r="B41" t="str" cm="1">
        <f t="array" ref="B41">IF(INDEX($AB:$AB, INT((ROW(B41)-8)/4)+8)="","", IF(MOD(ROW(B41)-8,4)=0, INDEX($AB:$AB, INT((ROW(B41)-8)/4)+8), ""))</f>
        <v/>
      </c>
      <c r="C41" s="22"/>
      <c r="D41" s="22"/>
      <c r="E41" s="22" t="str" cm="1">
        <f t="array" ref="E41">IF(INDEX($AE:$AE, INT((ROW(E41)-8)/4)+8)="","", IF(MOD(ROW(E41)-8,4)=0, INDEX($AE:$AE, INT((ROW(E41)-8)/4)+8), IF(MOD(ROW(E41)-8,4)=3, "Total Hours", "")))</f>
        <v/>
      </c>
      <c r="F41" s="66" t="str" cm="1">
        <f t="array" aca="1" ref="F41" ca="1">IF(INDEX($AF:$AF, INT((ROW(F41)-8)/4)+8)="","",
   IF(MOD(ROW(F41)-8,4)=0,
      INDEX($AF:$AF, INT((ROW(F41)-8)/4)+8),
      IF(MOD(ROW(F41)-8,4)=3,
         SUM(OFFSET(F41,-3,0,3,1)),
      "")
   )
)</f>
        <v/>
      </c>
      <c r="G41" t="str" cm="1">
        <f t="array" ref="G41">IF(INDEX($AG:$AG, INT((ROW(G41)-8)/4)+8)="","",
   IF(MOD(ROW(G41)-8,4)=0,
      INDEX($AG:$AG, INT((ROW(G41)-8)/4)+8),
      ""
   )
)</f>
        <v/>
      </c>
    </row>
    <row r="42" spans="1:7" x14ac:dyDescent="0.25">
      <c r="A42" s="56" t="str" cm="1">
        <f t="array" ref="A42">IF(INDEX($AA:$AA, INT((ROW(A42)-8)/4)+8)="","",IF(MOD(ROW(A42)-8,4)=0, INDEX($AA:$AA, INT((ROW(A42)-8)/4)+8), ""))</f>
        <v/>
      </c>
      <c r="B42" t="str" cm="1">
        <f t="array" ref="B42">IF(INDEX($AB:$AB, INT((ROW(B42)-8)/4)+8)="","", IF(MOD(ROW(B42)-8,4)=0, INDEX($AB:$AB, INT((ROW(B42)-8)/4)+8), ""))</f>
        <v/>
      </c>
      <c r="C42" s="22"/>
      <c r="D42" s="22"/>
      <c r="E42" s="22" t="str" cm="1">
        <f t="array" ref="E42">IF(INDEX($AE:$AE, INT((ROW(E42)-8)/4)+8)="","", IF(MOD(ROW(E42)-8,4)=0, INDEX($AE:$AE, INT((ROW(E42)-8)/4)+8), IF(MOD(ROW(E42)-8,4)=3, "Total Hours", "")))</f>
        <v/>
      </c>
      <c r="F42" s="66" t="str" cm="1">
        <f t="array" aca="1" ref="F42" ca="1">IF(INDEX($AF:$AF, INT((ROW(F42)-8)/4)+8)="","",
   IF(MOD(ROW(F42)-8,4)=0,
      INDEX($AF:$AF, INT((ROW(F42)-8)/4)+8),
      IF(MOD(ROW(F42)-8,4)=3,
         SUM(OFFSET(F42,-3,0,3,1)),
      "")
   )
)</f>
        <v/>
      </c>
      <c r="G42" t="str" cm="1">
        <f t="array" ref="G42">IF(INDEX($AG:$AG, INT((ROW(G42)-8)/4)+8)="","",
   IF(MOD(ROW(G42)-8,4)=0,
      INDEX($AG:$AG, INT((ROW(G42)-8)/4)+8),
      ""
   )
)</f>
        <v/>
      </c>
    </row>
    <row r="43" spans="1:7" x14ac:dyDescent="0.25">
      <c r="A43" s="56" t="str" cm="1">
        <f t="array" ref="A43">IF(INDEX($AA:$AA, INT((ROW(A43)-8)/4)+8)="","",IF(MOD(ROW(A43)-8,4)=0, INDEX($AA:$AA, INT((ROW(A43)-8)/4)+8), ""))</f>
        <v/>
      </c>
      <c r="B43" t="str" cm="1">
        <f t="array" ref="B43">IF(INDEX($AB:$AB, INT((ROW(B43)-8)/4)+8)="","", IF(MOD(ROW(B43)-8,4)=0, INDEX($AB:$AB, INT((ROW(B43)-8)/4)+8), ""))</f>
        <v/>
      </c>
      <c r="E43" t="str" cm="1">
        <f t="array" ref="E43">IF(INDEX($AE:$AE, INT((ROW(E43)-8)/4)+8)="","", IF(MOD(ROW(E43)-8,4)=0, INDEX($AE:$AE, INT((ROW(E43)-8)/4)+8), IF(MOD(ROW(E43)-8,4)=3, "Total Hours", "")))</f>
        <v>Total Hours</v>
      </c>
      <c r="F43" s="20" cm="1">
        <f t="array" aca="1" ref="F43" ca="1">IF(INDEX($AF:$AF, INT((ROW(F43)-8)/4)+8)="","",
   IF(MOD(ROW(F43)-8,4)=0,
      INDEX($AF:$AF, INT((ROW(F43)-8)/4)+8),
      IF(MOD(ROW(F43)-8,4)=3,
         SUM(OFFSET(F43,-3,0,3,1)),
      "")
   )
)</f>
        <v>3.75</v>
      </c>
      <c r="G43" t="str" cm="1">
        <f t="array" ref="G43">IF(INDEX($AG:$AG, INT((ROW(G43)-8)/4)+8)="","",
   IF(MOD(ROW(G43)-8,4)=0,
      INDEX($AG:$AG, INT((ROW(G43)-8)/4)+8),
      ""
   )
)</f>
        <v/>
      </c>
    </row>
    <row r="44" spans="1:7" x14ac:dyDescent="0.25">
      <c r="A44" s="56" t="str" cm="1">
        <f t="array" ref="A44">IF(INDEX($AA:$AA, INT((ROW(A44)-8)/4)+8)="","",IF(MOD(ROW(A44)-8,4)=0, INDEX($AA:$AA, INT((ROW(A44)-8)/4)+8), ""))</f>
        <v>24148</v>
      </c>
      <c r="B44" t="str" cm="1">
        <f t="array" ref="B44">IF(INDEX($AB:$AB, INT((ROW(B44)-8)/4)+8)="","", IF(MOD(ROW(B44)-8,4)=0, INDEX($AB:$AB, INT((ROW(B44)-8)/4)+8), ""))</f>
        <v>23-JUL</v>
      </c>
      <c r="E44" t="str" cm="1">
        <f t="array" ref="E44">IF(INDEX($AE:$AE, INT((ROW(E44)-8)/4)+8)="","", IF(MOD(ROW(E44)-8,4)=0, INDEX($AE:$AE, INT((ROW(E44)-8)/4)+8), IF(MOD(ROW(E44)-8,4)=3, "Total Hours", "")))</f>
        <v>1810</v>
      </c>
      <c r="F44" s="20" cm="1">
        <f t="array" aca="1" ref="F44" ca="1">IF(INDEX($AF:$AF, INT((ROW(F44)-8)/4)+8)="","",
   IF(MOD(ROW(F44)-8,4)=0,
      INDEX($AF:$AF, INT((ROW(F44)-8)/4)+8),
      IF(MOD(ROW(F44)-8,4)=3,
         SUM(OFFSET(F44,-3,0,3,1)),
      "")
   )
)</f>
        <v>3.75</v>
      </c>
      <c r="G44" t="str" cm="1">
        <f t="array" ref="G44">IF(INDEX($AG:$AG, INT((ROW(G44)-8)/4)+8)="","",
   IF(MOD(ROW(G44)-8,4)=0,
      INDEX($AG:$AG, INT((ROW(G44)-8)/4)+8),
      ""
   )
)</f>
        <v>Code Mismatch, Hours Mismatch</v>
      </c>
    </row>
    <row r="45" spans="1:7" x14ac:dyDescent="0.25">
      <c r="A45" s="56" t="str" cm="1">
        <f t="array" ref="A45">IF(INDEX($AA:$AA, INT((ROW(A45)-8)/4)+8)="","",IF(MOD(ROW(A45)-8,4)=0, INDEX($AA:$AA, INT((ROW(A45)-8)/4)+8), ""))</f>
        <v/>
      </c>
      <c r="B45" t="str" cm="1">
        <f t="array" ref="B45">IF(INDEX($AB:$AB, INT((ROW(B45)-8)/4)+8)="","", IF(MOD(ROW(B45)-8,4)=0, INDEX($AB:$AB, INT((ROW(B45)-8)/4)+8), ""))</f>
        <v/>
      </c>
      <c r="C45" s="22"/>
      <c r="D45" s="22"/>
      <c r="E45" s="22" t="str" cm="1">
        <f t="array" ref="E45">IF(INDEX($AE:$AE, INT((ROW(E45)-8)/4)+8)="","", IF(MOD(ROW(E45)-8,4)=0, INDEX($AE:$AE, INT((ROW(E45)-8)/4)+8), IF(MOD(ROW(E45)-8,4)=3, "Total Hours", "")))</f>
        <v/>
      </c>
      <c r="F45" s="66" t="str" cm="1">
        <f t="array" aca="1" ref="F45" ca="1">IF(INDEX($AF:$AF, INT((ROW(F45)-8)/4)+8)="","",
   IF(MOD(ROW(F45)-8,4)=0,
      INDEX($AF:$AF, INT((ROW(F45)-8)/4)+8),
      IF(MOD(ROW(F45)-8,4)=3,
         SUM(OFFSET(F45,-3,0,3,1)),
      "")
   )
)</f>
        <v/>
      </c>
      <c r="G45" t="str" cm="1">
        <f t="array" ref="G45">IF(INDEX($AG:$AG, INT((ROW(G45)-8)/4)+8)="","",
   IF(MOD(ROW(G45)-8,4)=0,
      INDEX($AG:$AG, INT((ROW(G45)-8)/4)+8),
      ""
   )
)</f>
        <v/>
      </c>
    </row>
    <row r="46" spans="1:7" x14ac:dyDescent="0.25">
      <c r="A46" s="56" t="str" cm="1">
        <f t="array" ref="A46">IF(INDEX($AA:$AA, INT((ROW(A46)-8)/4)+8)="","",IF(MOD(ROW(A46)-8,4)=0, INDEX($AA:$AA, INT((ROW(A46)-8)/4)+8), ""))</f>
        <v/>
      </c>
      <c r="B46" t="str" cm="1">
        <f t="array" ref="B46">IF(INDEX($AB:$AB, INT((ROW(B46)-8)/4)+8)="","", IF(MOD(ROW(B46)-8,4)=0, INDEX($AB:$AB, INT((ROW(B46)-8)/4)+8), ""))</f>
        <v/>
      </c>
      <c r="C46" s="22"/>
      <c r="D46" s="22"/>
      <c r="E46" s="22" t="str" cm="1">
        <f t="array" ref="E46">IF(INDEX($AE:$AE, INT((ROW(E46)-8)/4)+8)="","", IF(MOD(ROW(E46)-8,4)=0, INDEX($AE:$AE, INT((ROW(E46)-8)/4)+8), IF(MOD(ROW(E46)-8,4)=3, "Total Hours", "")))</f>
        <v/>
      </c>
      <c r="F46" s="66" t="str" cm="1">
        <f t="array" aca="1" ref="F46" ca="1">IF(INDEX($AF:$AF, INT((ROW(F46)-8)/4)+8)="","",
   IF(MOD(ROW(F46)-8,4)=0,
      INDEX($AF:$AF, INT((ROW(F46)-8)/4)+8),
      IF(MOD(ROW(F46)-8,4)=3,
         SUM(OFFSET(F46,-3,0,3,1)),
      "")
   )
)</f>
        <v/>
      </c>
      <c r="G46" t="str" cm="1">
        <f t="array" ref="G46">IF(INDEX($AG:$AG, INT((ROW(G46)-8)/4)+8)="","",
   IF(MOD(ROW(G46)-8,4)=0,
      INDEX($AG:$AG, INT((ROW(G46)-8)/4)+8),
      ""
   )
)</f>
        <v/>
      </c>
    </row>
    <row r="47" spans="1:7" x14ac:dyDescent="0.25">
      <c r="A47" s="56" t="str" cm="1">
        <f t="array" ref="A47">IF(INDEX($AA:$AA, INT((ROW(A47)-8)/4)+8)="","",IF(MOD(ROW(A47)-8,4)=0, INDEX($AA:$AA, INT((ROW(A47)-8)/4)+8), ""))</f>
        <v/>
      </c>
      <c r="B47" t="str" cm="1">
        <f t="array" ref="B47">IF(INDEX($AB:$AB, INT((ROW(B47)-8)/4)+8)="","", IF(MOD(ROW(B47)-8,4)=0, INDEX($AB:$AB, INT((ROW(B47)-8)/4)+8), ""))</f>
        <v/>
      </c>
      <c r="E47" t="str" cm="1">
        <f t="array" ref="E47">IF(INDEX($AE:$AE, INT((ROW(E47)-8)/4)+8)="","", IF(MOD(ROW(E47)-8,4)=0, INDEX($AE:$AE, INT((ROW(E47)-8)/4)+8), IF(MOD(ROW(E47)-8,4)=3, "Total Hours", "")))</f>
        <v>Total Hours</v>
      </c>
      <c r="F47" s="20" cm="1">
        <f t="array" aca="1" ref="F47" ca="1">IF(INDEX($AF:$AF, INT((ROW(F47)-8)/4)+8)="","",
   IF(MOD(ROW(F47)-8,4)=0,
      INDEX($AF:$AF, INT((ROW(F47)-8)/4)+8),
      IF(MOD(ROW(F47)-8,4)=3,
         SUM(OFFSET(F47,-3,0,3,1)),
      "")
   )
)</f>
        <v>3.75</v>
      </c>
      <c r="G47" t="str" cm="1">
        <f t="array" ref="G47">IF(INDEX($AG:$AG, INT((ROW(G47)-8)/4)+8)="","",
   IF(MOD(ROW(G47)-8,4)=0,
      INDEX($AG:$AG, INT((ROW(G47)-8)/4)+8),
      ""
   )
)</f>
        <v/>
      </c>
    </row>
    <row r="48" spans="1:7" x14ac:dyDescent="0.25">
      <c r="A48" s="56" t="str" cm="1">
        <f t="array" ref="A48">IF(INDEX($AA:$AA, INT((ROW(A48)-8)/4)+8)="","",IF(MOD(ROW(A48)-8,4)=0, INDEX($AA:$AA, INT((ROW(A48)-8)/4)+8), ""))</f>
        <v>24148</v>
      </c>
      <c r="B48" t="str" cm="1">
        <f t="array" ref="B48">IF(INDEX($AB:$AB, INT((ROW(B48)-8)/4)+8)="","", IF(MOD(ROW(B48)-8,4)=0, INDEX($AB:$AB, INT((ROW(B48)-8)/4)+8), ""))</f>
        <v>05-SEP</v>
      </c>
      <c r="E48" t="str" cm="1">
        <f t="array" ref="E48">IF(INDEX($AE:$AE, INT((ROW(E48)-8)/4)+8)="","", IF(MOD(ROW(E48)-8,4)=0, INDEX($AE:$AE, INT((ROW(E48)-8)/4)+8), IF(MOD(ROW(E48)-8,4)=3, "Total Hours", "")))</f>
        <v>1810</v>
      </c>
      <c r="F48" s="20" cm="1">
        <f t="array" aca="1" ref="F48" ca="1">IF(INDEX($AF:$AF, INT((ROW(F48)-8)/4)+8)="","",
   IF(MOD(ROW(F48)-8,4)=0,
      INDEX($AF:$AF, INT((ROW(F48)-8)/4)+8),
      IF(MOD(ROW(F48)-8,4)=3,
         SUM(OFFSET(F48,-3,0,3,1)),
      "")
   )
)</f>
        <v>3.75</v>
      </c>
      <c r="G48" t="str" cm="1">
        <f t="array" ref="G48">IF(INDEX($AG:$AG, INT((ROW(G48)-8)/4)+8)="","",
   IF(MOD(ROW(G48)-8,4)=0,
      INDEX($AG:$AG, INT((ROW(G48)-8)/4)+8),
      ""
   )
)</f>
        <v>Code Mismatch, Hours Mismatch</v>
      </c>
    </row>
    <row r="49" spans="1:7" x14ac:dyDescent="0.25">
      <c r="A49" s="56" t="str" cm="1">
        <f t="array" ref="A49">IF(INDEX($AA:$AA, INT((ROW(A49)-8)/4)+8)="","",IF(MOD(ROW(A49)-8,4)=0, INDEX($AA:$AA, INT((ROW(A49)-8)/4)+8), ""))</f>
        <v/>
      </c>
      <c r="B49" t="str" cm="1">
        <f t="array" ref="B49">IF(INDEX($AB:$AB, INT((ROW(B49)-8)/4)+8)="","", IF(MOD(ROW(B49)-8,4)=0, INDEX($AB:$AB, INT((ROW(B49)-8)/4)+8), ""))</f>
        <v/>
      </c>
      <c r="C49" s="22"/>
      <c r="D49" s="22"/>
      <c r="E49" s="22" t="str" cm="1">
        <f t="array" ref="E49">IF(INDEX($AE:$AE, INT((ROW(E49)-8)/4)+8)="","", IF(MOD(ROW(E49)-8,4)=0, INDEX($AE:$AE, INT((ROW(E49)-8)/4)+8), IF(MOD(ROW(E49)-8,4)=3, "Total Hours", "")))</f>
        <v/>
      </c>
      <c r="F49" s="66" t="str" cm="1">
        <f t="array" aca="1" ref="F49" ca="1">IF(INDEX($AF:$AF, INT((ROW(F49)-8)/4)+8)="","",
   IF(MOD(ROW(F49)-8,4)=0,
      INDEX($AF:$AF, INT((ROW(F49)-8)/4)+8),
      IF(MOD(ROW(F49)-8,4)=3,
         SUM(OFFSET(F49,-3,0,3,1)),
      "")
   )
)</f>
        <v/>
      </c>
      <c r="G49" t="str" cm="1">
        <f t="array" ref="G49">IF(INDEX($AG:$AG, INT((ROW(G49)-8)/4)+8)="","",
   IF(MOD(ROW(G49)-8,4)=0,
      INDEX($AG:$AG, INT((ROW(G49)-8)/4)+8),
      ""
   )
)</f>
        <v/>
      </c>
    </row>
    <row r="50" spans="1:7" x14ac:dyDescent="0.25">
      <c r="A50" s="56" t="str" cm="1">
        <f t="array" ref="A50">IF(INDEX($AA:$AA, INT((ROW(A50)-8)/4)+8)="","",IF(MOD(ROW(A50)-8,4)=0, INDEX($AA:$AA, INT((ROW(A50)-8)/4)+8), ""))</f>
        <v/>
      </c>
      <c r="B50" t="str" cm="1">
        <f t="array" ref="B50">IF(INDEX($AB:$AB, INT((ROW(B50)-8)/4)+8)="","", IF(MOD(ROW(B50)-8,4)=0, INDEX($AB:$AB, INT((ROW(B50)-8)/4)+8), ""))</f>
        <v/>
      </c>
      <c r="C50" s="22"/>
      <c r="D50" s="22"/>
      <c r="E50" s="22" t="str" cm="1">
        <f t="array" ref="E50">IF(INDEX($AE:$AE, INT((ROW(E50)-8)/4)+8)="","", IF(MOD(ROW(E50)-8,4)=0, INDEX($AE:$AE, INT((ROW(E50)-8)/4)+8), IF(MOD(ROW(E50)-8,4)=3, "Total Hours", "")))</f>
        <v/>
      </c>
      <c r="F50" s="66" t="str" cm="1">
        <f t="array" aca="1" ref="F50" ca="1">IF(INDEX($AF:$AF, INT((ROW(F50)-8)/4)+8)="","",
   IF(MOD(ROW(F50)-8,4)=0,
      INDEX($AF:$AF, INT((ROW(F50)-8)/4)+8),
      IF(MOD(ROW(F50)-8,4)=3,
         SUM(OFFSET(F50,-3,0,3,1)),
      "")
   )
)</f>
        <v/>
      </c>
      <c r="G50" t="str" cm="1">
        <f t="array" ref="G50">IF(INDEX($AG:$AG, INT((ROW(G50)-8)/4)+8)="","",
   IF(MOD(ROW(G50)-8,4)=0,
      INDEX($AG:$AG, INT((ROW(G50)-8)/4)+8),
      ""
   )
)</f>
        <v/>
      </c>
    </row>
    <row r="51" spans="1:7" x14ac:dyDescent="0.25">
      <c r="A51" s="56" t="str" cm="1">
        <f t="array" ref="A51">IF(INDEX($AA:$AA, INT((ROW(A51)-8)/4)+8)="","",IF(MOD(ROW(A51)-8,4)=0, INDEX($AA:$AA, INT((ROW(A51)-8)/4)+8), ""))</f>
        <v/>
      </c>
      <c r="B51" t="str" cm="1">
        <f t="array" ref="B51">IF(INDEX($AB:$AB, INT((ROW(B51)-8)/4)+8)="","", IF(MOD(ROW(B51)-8,4)=0, INDEX($AB:$AB, INT((ROW(B51)-8)/4)+8), ""))</f>
        <v/>
      </c>
      <c r="E51" t="str" cm="1">
        <f t="array" ref="E51">IF(INDEX($AE:$AE, INT((ROW(E51)-8)/4)+8)="","", IF(MOD(ROW(E51)-8,4)=0, INDEX($AE:$AE, INT((ROW(E51)-8)/4)+8), IF(MOD(ROW(E51)-8,4)=3, "Total Hours", "")))</f>
        <v>Total Hours</v>
      </c>
      <c r="F51" s="20" cm="1">
        <f t="array" aca="1" ref="F51" ca="1">IF(INDEX($AF:$AF, INT((ROW(F51)-8)/4)+8)="","",
   IF(MOD(ROW(F51)-8,4)=0,
      INDEX($AF:$AF, INT((ROW(F51)-8)/4)+8),
      IF(MOD(ROW(F51)-8,4)=3,
         SUM(OFFSET(F51,-3,0,3,1)),
      "")
   )
)</f>
        <v>3.75</v>
      </c>
      <c r="G51" t="str" cm="1">
        <f t="array" ref="G51">IF(INDEX($AG:$AG, INT((ROW(G51)-8)/4)+8)="","",
   IF(MOD(ROW(G51)-8,4)=0,
      INDEX($AG:$AG, INT((ROW(G51)-8)/4)+8),
      ""
   )
)</f>
        <v/>
      </c>
    </row>
    <row r="52" spans="1:7" x14ac:dyDescent="0.25">
      <c r="A52" s="56" t="str" cm="1">
        <f t="array" ref="A52">IF(INDEX($AA:$AA, INT((ROW(A52)-8)/4)+8)="","",IF(MOD(ROW(A52)-8,4)=0, INDEX($AA:$AA, INT((ROW(A52)-8)/4)+8), ""))</f>
        <v>24148</v>
      </c>
      <c r="B52" t="str" cm="1">
        <f t="array" ref="B52">IF(INDEX($AB:$AB, INT((ROW(B52)-8)/4)+8)="","", IF(MOD(ROW(B52)-8,4)=0, INDEX($AB:$AB, INT((ROW(B52)-8)/4)+8), ""))</f>
        <v>15-SEP</v>
      </c>
      <c r="E52" t="str" cm="1">
        <f t="array" ref="E52">IF(INDEX($AE:$AE, INT((ROW(E52)-8)/4)+8)="","", IF(MOD(ROW(E52)-8,4)=0, INDEX($AE:$AE, INT((ROW(E52)-8)/4)+8), IF(MOD(ROW(E52)-8,4)=3, "Total Hours", "")))</f>
        <v>1410</v>
      </c>
      <c r="F52" s="20" cm="1">
        <f t="array" aca="1" ref="F52" ca="1">IF(INDEX($AF:$AF, INT((ROW(F52)-8)/4)+8)="","",
   IF(MOD(ROW(F52)-8,4)=0,
      INDEX($AF:$AF, INT((ROW(F52)-8)/4)+8),
      IF(MOD(ROW(F52)-8,4)=3,
         SUM(OFFSET(F52,-3,0,3,1)),
      "")
   )
)</f>
        <v>3.75</v>
      </c>
      <c r="G52" t="str" cm="1">
        <f t="array" ref="G52">IF(INDEX($AG:$AG, INT((ROW(G52)-8)/4)+8)="","",
   IF(MOD(ROW(G52)-8,4)=0,
      INDEX($AG:$AG, INT((ROW(G52)-8)/4)+8),
      ""
   )
)</f>
        <v>Code Mismatch, Hours Mismatch</v>
      </c>
    </row>
    <row r="53" spans="1:7" x14ac:dyDescent="0.25">
      <c r="A53" s="56" t="str" cm="1">
        <f t="array" ref="A53">IF(INDEX($AA:$AA, INT((ROW(A53)-8)/4)+8)="","",IF(MOD(ROW(A53)-8,4)=0, INDEX($AA:$AA, INT((ROW(A53)-8)/4)+8), ""))</f>
        <v/>
      </c>
      <c r="B53" t="str" cm="1">
        <f t="array" ref="B53">IF(INDEX($AB:$AB, INT((ROW(B53)-8)/4)+8)="","", IF(MOD(ROW(B53)-8,4)=0, INDEX($AB:$AB, INT((ROW(B53)-8)/4)+8), ""))</f>
        <v/>
      </c>
      <c r="C53" s="22"/>
      <c r="D53" s="22"/>
      <c r="E53" s="22"/>
      <c r="F53" s="66"/>
      <c r="G53" t="str" cm="1">
        <f t="array" ref="G53">IF(INDEX($AG:$AG, INT((ROW(G53)-8)/4)+8)="","",
   IF(MOD(ROW(G53)-8,4)=0,
      INDEX($AG:$AG, INT((ROW(G53)-8)/4)+8),
      ""
   )
)</f>
        <v/>
      </c>
    </row>
    <row r="54" spans="1:7" x14ac:dyDescent="0.25">
      <c r="A54" s="56" t="str" cm="1">
        <f t="array" ref="A54">IF(INDEX($AA:$AA, INT((ROW(A54)-8)/4)+8)="","",IF(MOD(ROW(A54)-8,4)=0, INDEX($AA:$AA, INT((ROW(A54)-8)/4)+8), ""))</f>
        <v/>
      </c>
      <c r="B54" t="str" cm="1">
        <f t="array" ref="B54">IF(INDEX($AB:$AB, INT((ROW(B54)-8)/4)+8)="","", IF(MOD(ROW(B54)-8,4)=0, INDEX($AB:$AB, INT((ROW(B54)-8)/4)+8), ""))</f>
        <v/>
      </c>
      <c r="C54" s="22"/>
      <c r="D54" s="22"/>
      <c r="E54" s="22"/>
      <c r="F54" s="66"/>
      <c r="G54" t="str" cm="1">
        <f t="array" ref="G54">IF(INDEX($AG:$AG, INT((ROW(G54)-8)/4)+8)="","",
   IF(MOD(ROW(G54)-8,4)=0,
      INDEX($AG:$AG, INT((ROW(G54)-8)/4)+8),
      ""
   )
)</f>
        <v/>
      </c>
    </row>
    <row r="55" spans="1:7" x14ac:dyDescent="0.25">
      <c r="A55" s="56" t="str" cm="1">
        <f t="array" ref="A55">IF(INDEX($AA:$AA, INT((ROW(A55)-8)/4)+8)="","",IF(MOD(ROW(A55)-8,4)=0, INDEX($AA:$AA, INT((ROW(A55)-8)/4)+8), ""))</f>
        <v/>
      </c>
      <c r="B55" t="str" cm="1">
        <f t="array" ref="B55">IF(INDEX($AB:$AB, INT((ROW(B55)-8)/4)+8)="","", IF(MOD(ROW(B55)-8,4)=0, INDEX($AB:$AB, INT((ROW(B55)-8)/4)+8), ""))</f>
        <v/>
      </c>
      <c r="E55" t="str" cm="1">
        <f t="array" ref="E55">IF(INDEX($AE:$AE, INT((ROW(E55)-8)/4)+8)="","", IF(MOD(ROW(E55)-8,4)=0, INDEX($AE:$AE, INT((ROW(E55)-8)/4)+8), IF(MOD(ROW(E55)-8,4)=3, "Total Hours", "")))</f>
        <v>Total Hours</v>
      </c>
      <c r="F55" s="20" cm="1">
        <f t="array" aca="1" ref="F55" ca="1">IF(INDEX($AF:$AF, INT((ROW(F55)-8)/4)+8)="","",
   IF(MOD(ROW(F55)-8,4)=0,
      INDEX($AF:$AF, INT((ROW(F55)-8)/4)+8),
      IF(MOD(ROW(F55)-8,4)=3,
         SUM(OFFSET(F55,-3,0,3,1)),
      "")
   )
)</f>
        <v>3.75</v>
      </c>
      <c r="G55" t="str" cm="1">
        <f t="array" ref="G55">IF(INDEX($AG:$AG, INT((ROW(G55)-8)/4)+8)="","",
   IF(MOD(ROW(G55)-8,4)=0,
      INDEX($AG:$AG, INT((ROW(G55)-8)/4)+8),
      ""
   )
)</f>
        <v/>
      </c>
    </row>
    <row r="56" spans="1:7" x14ac:dyDescent="0.25">
      <c r="A56" s="56" t="str" cm="1">
        <f t="array" ref="A56">IF(INDEX($AA:$AA, INT((ROW(A56)-8)/4)+8)="","",IF(MOD(ROW(A56)-8,4)=0, INDEX($AA:$AA, INT((ROW(A56)-8)/4)+8), ""))</f>
        <v>24148</v>
      </c>
      <c r="B56" t="str" cm="1">
        <f t="array" ref="B56">IF(INDEX($AB:$AB, INT((ROW(B56)-8)/4)+8)="","", IF(MOD(ROW(B56)-8,4)=0, INDEX($AB:$AB, INT((ROW(B56)-8)/4)+8), ""))</f>
        <v>03-OCT</v>
      </c>
      <c r="E56" t="str" cm="1">
        <f t="array" ref="E56">IF(INDEX($AE:$AE, INT((ROW(E56)-8)/4)+8)="","", IF(MOD(ROW(E56)-8,4)=0, INDEX($AE:$AE, INT((ROW(E56)-8)/4)+8), IF(MOD(ROW(E56)-8,4)=3, "Total Hours", "")))</f>
        <v>1810</v>
      </c>
      <c r="F56" s="20" cm="1">
        <f t="array" aca="1" ref="F56" ca="1">IF(INDEX($AF:$AF, INT((ROW(F56)-8)/4)+8)="","",
   IF(MOD(ROW(F56)-8,4)=0,
      INDEX($AF:$AF, INT((ROW(F56)-8)/4)+8),
      IF(MOD(ROW(F56)-8,4)=3,
         SUM(OFFSET(F56,-3,0,3,1)),
      "")
   )
)</f>
        <v>1</v>
      </c>
      <c r="G56" t="str" cm="1">
        <f t="array" ref="G56">IF(INDEX($AG:$AG, INT((ROW(G56)-8)/4)+8)="","",
   IF(MOD(ROW(G56)-8,4)=0,
      INDEX($AG:$AG, INT((ROW(G56)-8)/4)+8),
      ""
   )
)</f>
        <v>Code Mismatch, Hours Mismatch</v>
      </c>
    </row>
    <row r="57" spans="1:7" x14ac:dyDescent="0.25">
      <c r="A57" s="56" t="str" cm="1">
        <f t="array" ref="A57">IF(INDEX($AA:$AA, INT((ROW(A57)-8)/4)+8)="","",IF(MOD(ROW(A57)-8,4)=0, INDEX($AA:$AA, INT((ROW(A57)-8)/4)+8), ""))</f>
        <v/>
      </c>
      <c r="B57" t="str" cm="1">
        <f t="array" ref="B57">IF(INDEX($AB:$AB, INT((ROW(B57)-8)/4)+8)="","", IF(MOD(ROW(B57)-8,4)=0, INDEX($AB:$AB, INT((ROW(B57)-8)/4)+8), ""))</f>
        <v/>
      </c>
      <c r="C57" s="22"/>
      <c r="D57" s="22"/>
      <c r="E57" s="22" t="str" cm="1">
        <f t="array" ref="E57">IF(INDEX($AE:$AE, INT((ROW(E57)-8)/4)+8)="","", IF(MOD(ROW(E57)-8,4)=0, INDEX($AE:$AE, INT((ROW(E57)-8)/4)+8), IF(MOD(ROW(E57)-8,4)=3, "Total Hours", "")))</f>
        <v/>
      </c>
      <c r="F57" s="66" t="str" cm="1">
        <f t="array" aca="1" ref="F57" ca="1">IF(INDEX($AF:$AF, INT((ROW(F57)-8)/4)+8)="","",
   IF(MOD(ROW(F57)-8,4)=0,
      INDEX($AF:$AF, INT((ROW(F57)-8)/4)+8),
      IF(MOD(ROW(F57)-8,4)=3,
         SUM(OFFSET(F57,-3,0,3,1)),
      "")
   )
)</f>
        <v/>
      </c>
      <c r="G57" t="str" cm="1">
        <f t="array" ref="G57">IF(INDEX($AG:$AG, INT((ROW(G57)-8)/4)+8)="","",
   IF(MOD(ROW(G57)-8,4)=0,
      INDEX($AG:$AG, INT((ROW(G57)-8)/4)+8),
      ""
   )
)</f>
        <v/>
      </c>
    </row>
    <row r="58" spans="1:7" x14ac:dyDescent="0.25">
      <c r="A58" s="56" t="str" cm="1">
        <f t="array" ref="A58">IF(INDEX($AA:$AA, INT((ROW(A58)-8)/4)+8)="","",IF(MOD(ROW(A58)-8,4)=0, INDEX($AA:$AA, INT((ROW(A58)-8)/4)+8), ""))</f>
        <v/>
      </c>
      <c r="B58" t="str" cm="1">
        <f t="array" ref="B58">IF(INDEX($AB:$AB, INT((ROW(B58)-8)/4)+8)="","", IF(MOD(ROW(B58)-8,4)=0, INDEX($AB:$AB, INT((ROW(B58)-8)/4)+8), ""))</f>
        <v/>
      </c>
      <c r="C58" s="22"/>
      <c r="D58" s="22"/>
      <c r="E58" s="22" t="str" cm="1">
        <f t="array" ref="E58">IF(INDEX($AE:$AE, INT((ROW(E58)-8)/4)+8)="","", IF(MOD(ROW(E58)-8,4)=0, INDEX($AE:$AE, INT((ROW(E58)-8)/4)+8), IF(MOD(ROW(E58)-8,4)=3, "Total Hours", "")))</f>
        <v/>
      </c>
      <c r="F58" s="66" t="str" cm="1">
        <f t="array" aca="1" ref="F58" ca="1">IF(INDEX($AF:$AF, INT((ROW(F58)-8)/4)+8)="","",
   IF(MOD(ROW(F58)-8,4)=0,
      INDEX($AF:$AF, INT((ROW(F58)-8)/4)+8),
      IF(MOD(ROW(F58)-8,4)=3,
         SUM(OFFSET(F58,-3,0,3,1)),
      "")
   )
)</f>
        <v/>
      </c>
      <c r="G58" t="str" cm="1">
        <f t="array" ref="G58">IF(INDEX($AG:$AG, INT((ROW(G58)-8)/4)+8)="","",
   IF(MOD(ROW(G58)-8,4)=0,
      INDEX($AG:$AG, INT((ROW(G58)-8)/4)+8),
      ""
   )
)</f>
        <v/>
      </c>
    </row>
    <row r="59" spans="1:7" x14ac:dyDescent="0.25">
      <c r="A59" s="56" t="str" cm="1">
        <f t="array" ref="A59">IF(INDEX($AA:$AA, INT((ROW(A59)-8)/4)+8)="","",IF(MOD(ROW(A59)-8,4)=0, INDEX($AA:$AA, INT((ROW(A59)-8)/4)+8), ""))</f>
        <v/>
      </c>
      <c r="B59" t="str" cm="1">
        <f t="array" ref="B59">IF(INDEX($AB:$AB, INT((ROW(B59)-8)/4)+8)="","", IF(MOD(ROW(B59)-8,4)=0, INDEX($AB:$AB, INT((ROW(B59)-8)/4)+8), ""))</f>
        <v/>
      </c>
      <c r="E59" t="str" cm="1">
        <f t="array" ref="E59">IF(INDEX($AE:$AE, INT((ROW(E59)-8)/4)+8)="","", IF(MOD(ROW(E59)-8,4)=0, INDEX($AE:$AE, INT((ROW(E59)-8)/4)+8), IF(MOD(ROW(E59)-8,4)=3, "Total Hours", "")))</f>
        <v>Total Hours</v>
      </c>
      <c r="F59" s="20" cm="1">
        <f t="array" aca="1" ref="F59" ca="1">IF(INDEX($AF:$AF, INT((ROW(F59)-8)/4)+8)="","",
   IF(MOD(ROW(F59)-8,4)=0,
      INDEX($AF:$AF, INT((ROW(F59)-8)/4)+8),
      IF(MOD(ROW(F59)-8,4)=3,
         SUM(OFFSET(F59,-3,0,3,1)),
      "")
   )
)</f>
        <v>1</v>
      </c>
      <c r="G59" t="str" cm="1">
        <f t="array" ref="G59">IF(INDEX($AG:$AG, INT((ROW(G59)-8)/4)+8)="","",
   IF(MOD(ROW(G59)-8,4)=0,
      INDEX($AG:$AG, INT((ROW(G59)-8)/4)+8),
      ""
   )
)</f>
        <v/>
      </c>
    </row>
    <row r="60" spans="1:7" x14ac:dyDescent="0.25">
      <c r="A60" s="56"/>
      <c r="B60" t="str" cm="1">
        <f t="array" ref="B60">IF(INDEX($AB:$AB, INT((ROW(B60)-8)/4)+8)="","", IF(MOD(ROW(B60)-8,4)=0, INDEX($AB:$AB, INT((ROW(B60)-8)/4)+8), ""))</f>
        <v/>
      </c>
      <c r="E60" t="str" cm="1">
        <f t="array" ref="E60">IF(INDEX($AE:$AE, INT((ROW(E60)-8)/4)+8)="","", IF(MOD(ROW(E60)-8,4)=0, INDEX($AE:$AE, INT((ROW(E60)-8)/4)+8), IF(MOD(ROW(E60)-8,4)=3, "Total Hours", "")))</f>
        <v/>
      </c>
      <c r="F60" s="20" t="str" cm="1">
        <f t="array" aca="1" ref="F60" ca="1">IF(INDEX($AF:$AF, INT((ROW(F60)-8)/4)+8)="","",
   IF(MOD(ROW(F60)-8,4)=0,
      INDEX($AF:$AF, INT((ROW(F60)-8)/4)+8),
      IF(MOD(ROW(F60)-8,4)=3,
         SUM(OFFSET(F60,-3,0,3,1)),
      "")
   )
)</f>
        <v/>
      </c>
      <c r="G60" t="str" cm="1">
        <f t="array" ref="G60">IF(INDEX($AG:$AG, INT((ROW(G60)-8)/4)+8)="","",
   IF(MOD(ROW(G60)-8,4)=0,
      INDEX($AG:$AG, INT((ROW(G60)-8)/4)+8),
      ""
   )
)</f>
        <v/>
      </c>
    </row>
    <row r="61" spans="1:7" x14ac:dyDescent="0.25">
      <c r="A61" s="56" t="str" cm="1">
        <f t="array" ref="A61">IF(INDEX($AA:$AA, INT((ROW(A61)-8)/4)+8)="","",IF(MOD(ROW(A61)-8,4)=0, INDEX($AA:$AA, INT((ROW(A61)-8)/4)+8), ""))</f>
        <v/>
      </c>
      <c r="B61" t="str" cm="1">
        <f t="array" ref="B61">IF(INDEX($AB:$AB, INT((ROW(B61)-8)/4)+8)="","", IF(MOD(ROW(B61)-8,4)=0, INDEX($AB:$AB, INT((ROW(B61)-8)/4)+8), ""))</f>
        <v/>
      </c>
      <c r="C61" s="22"/>
      <c r="D61" s="22"/>
      <c r="E61" s="22" t="str" cm="1">
        <f t="array" ref="E61">IF(INDEX($AE:$AE, INT((ROW(E61)-8)/4)+8)="","", IF(MOD(ROW(E61)-8,4)=0, INDEX($AE:$AE, INT((ROW(E61)-8)/4)+8), IF(MOD(ROW(E61)-8,4)=3, "Total Hours", "")))</f>
        <v/>
      </c>
      <c r="F61" s="66" t="str" cm="1">
        <f t="array" aca="1" ref="F61" ca="1">IF(INDEX($AF:$AF, INT((ROW(F61)-8)/4)+8)="","",
   IF(MOD(ROW(F61)-8,4)=0,
      INDEX($AF:$AF, INT((ROW(F61)-8)/4)+8),
      IF(MOD(ROW(F61)-8,4)=3,
         SUM(OFFSET(F61,-3,0,3,1)),
      "")
   )
)</f>
        <v/>
      </c>
      <c r="G61" t="str" cm="1">
        <f t="array" ref="G61">IF(INDEX($AG:$AG, INT((ROW(G61)-8)/4)+8)="","",
   IF(MOD(ROW(G61)-8,4)=0,
      INDEX($AG:$AG, INT((ROW(G61)-8)/4)+8),
      ""
   )
)</f>
        <v/>
      </c>
    </row>
    <row r="62" spans="1:7" x14ac:dyDescent="0.25">
      <c r="A62" s="56" t="str" cm="1">
        <f t="array" ref="A62">IF(INDEX($AA:$AA, INT((ROW(A62)-8)/4)+8)="","",IF(MOD(ROW(A62)-8,4)=0, INDEX($AA:$AA, INT((ROW(A62)-8)/4)+8), ""))</f>
        <v/>
      </c>
      <c r="B62" t="str" cm="1">
        <f t="array" ref="B62">IF(INDEX($AB:$AB, INT((ROW(B62)-8)/4)+8)="","", IF(MOD(ROW(B62)-8,4)=0, INDEX($AB:$AB, INT((ROW(B62)-8)/4)+8), ""))</f>
        <v/>
      </c>
      <c r="C62" s="22"/>
      <c r="D62" s="22"/>
      <c r="E62" s="22" t="str" cm="1">
        <f t="array" ref="E62">IF(INDEX($AE:$AE, INT((ROW(E62)-8)/4)+8)="","", IF(MOD(ROW(E62)-8,4)=0, INDEX($AE:$AE, INT((ROW(E62)-8)/4)+8), IF(MOD(ROW(E62)-8,4)=3, "Total Hours", "")))</f>
        <v/>
      </c>
      <c r="F62" s="66" t="str" cm="1">
        <f t="array" aca="1" ref="F62" ca="1">IF(INDEX($AF:$AF, INT((ROW(F62)-8)/4)+8)="","",
   IF(MOD(ROW(F62)-8,4)=0,
      INDEX($AF:$AF, INT((ROW(F62)-8)/4)+8),
      IF(MOD(ROW(F62)-8,4)=3,
         SUM(OFFSET(F62,-3,0,3,1)),
      "")
   )
)</f>
        <v/>
      </c>
      <c r="G62" t="str" cm="1">
        <f t="array" ref="G62">IF(INDEX($AG:$AG, INT((ROW(G62)-8)/4)+8)="","",
   IF(MOD(ROW(G62)-8,4)=0,
      INDEX($AG:$AG, INT((ROW(G62)-8)/4)+8),
      ""
   )
)</f>
        <v/>
      </c>
    </row>
    <row r="63" spans="1:7" x14ac:dyDescent="0.25">
      <c r="A63" s="56" t="str" cm="1">
        <f t="array" ref="A63">IF(INDEX($AA:$AA, INT((ROW(A63)-8)/4)+8)="","",IF(MOD(ROW(A63)-8,4)=0, INDEX($AA:$AA, INT((ROW(A63)-8)/4)+8), ""))</f>
        <v/>
      </c>
      <c r="B63" t="str" cm="1">
        <f t="array" ref="B63">IF(INDEX($AB:$AB, INT((ROW(B63)-8)/4)+8)="","", IF(MOD(ROW(B63)-8,4)=0, INDEX($AB:$AB, INT((ROW(B63)-8)/4)+8), ""))</f>
        <v/>
      </c>
      <c r="E63" s="4"/>
      <c r="F63" s="20" t="str" cm="1">
        <f t="array" aca="1" ref="F63" ca="1">IF(INDEX($AF:$AF, INT((ROW(F63)-8)/4)+8)="","",
   IF(MOD(ROW(F63)-8,4)=0,
      INDEX($AF:$AF, INT((ROW(F63)-8)/4)+8),
      IF(MOD(ROW(F63)-8,4)=3,
         SUM(OFFSET(F63,-3,0,3,1)),
      "")
   )
)</f>
        <v/>
      </c>
      <c r="G63" t="str" cm="1">
        <f t="array" ref="G63">IF(INDEX($AG:$AG, INT((ROW(G63)-8)/4)+8)="","",
   IF(MOD(ROW(G63)-8,4)=0,
      INDEX($AG:$AG, INT((ROW(G63)-8)/4)+8),
      ""
   )
)</f>
        <v/>
      </c>
    </row>
    <row r="64" spans="1:7" x14ac:dyDescent="0.25">
      <c r="A64" s="56"/>
      <c r="B64" t="str" cm="1">
        <f t="array" ref="B64">IF(INDEX($AB:$AB, INT((ROW(B64)-8)/4)+8)="","", IF(MOD(ROW(B64)-8,4)=0, INDEX($AB:$AB, INT((ROW(B64)-8)/4)+8), ""))</f>
        <v/>
      </c>
      <c r="E64" t="str" cm="1">
        <f t="array" ref="E64">IF(INDEX($AE:$AE, INT((ROW(E64)-8)/4)+8)="","", IF(MOD(ROW(E64)-8,4)=0, INDEX($AE:$AE, INT((ROW(E64)-8)/4)+8), IF(MOD(ROW(E64)-8,4)=3, "Total Hours", "")))</f>
        <v/>
      </c>
      <c r="F64" s="20" t="str" cm="1">
        <f t="array" aca="1" ref="F64" ca="1">IF(INDEX($AF:$AF, INT((ROW(F64)-8)/4)+8)="","",
   IF(MOD(ROW(F64)-8,4)=0,
      INDEX($AF:$AF, INT((ROW(F64)-8)/4)+8),
      IF(MOD(ROW(F64)-8,4)=3,
         SUM(OFFSET(F64,-3,0,3,1)),
      "")
   )
)</f>
        <v/>
      </c>
      <c r="G64" t="str" cm="1">
        <f t="array" ref="G64">IF(INDEX($AG:$AG, INT((ROW(G64)-8)/4)+8)="","",
   IF(MOD(ROW(G64)-8,4)=0,
      INDEX($AG:$AG, INT((ROW(G64)-8)/4)+8),
      ""
   )
)</f>
        <v/>
      </c>
    </row>
    <row r="65" spans="1:7" x14ac:dyDescent="0.25">
      <c r="A65" s="56" t="str" cm="1">
        <f t="array" ref="A65">IF(INDEX($AA:$AA, INT((ROW(A65)-8)/4)+8)="","",IF(MOD(ROW(A65)-8,4)=0, INDEX($AA:$AA, INT((ROW(A65)-8)/4)+8), ""))</f>
        <v/>
      </c>
      <c r="B65" t="str" cm="1">
        <f t="array" ref="B65">IF(INDEX($AB:$AB, INT((ROW(B65)-8)/4)+8)="","", IF(MOD(ROW(B65)-8,4)=0, INDEX($AB:$AB, INT((ROW(B65)-8)/4)+8), ""))</f>
        <v/>
      </c>
      <c r="C65" s="22"/>
      <c r="D65" s="22"/>
      <c r="E65" s="22" t="str" cm="1">
        <f t="array" ref="E65">IF(INDEX($AE:$AE, INT((ROW(E65)-8)/4)+8)="","", IF(MOD(ROW(E65)-8,4)=0, INDEX($AE:$AE, INT((ROW(E65)-8)/4)+8), IF(MOD(ROW(E65)-8,4)=3, "Total Hours", "")))</f>
        <v/>
      </c>
      <c r="F65" s="66" t="str" cm="1">
        <f t="array" aca="1" ref="F65" ca="1">IF(INDEX($AF:$AF, INT((ROW(F65)-8)/4)+8)="","",
   IF(MOD(ROW(F65)-8,4)=0,
      INDEX($AF:$AF, INT((ROW(F65)-8)/4)+8),
      IF(MOD(ROW(F65)-8,4)=3,
         SUM(OFFSET(F65,-3,0,3,1)),
      "")
   )
)</f>
        <v/>
      </c>
      <c r="G65" t="str" cm="1">
        <f t="array" ref="G65">IF(INDEX($AG:$AG, INT((ROW(G65)-8)/4)+8)="","",
   IF(MOD(ROW(G65)-8,4)=0,
      INDEX($AG:$AG, INT((ROW(G65)-8)/4)+8),
      ""
   )
)</f>
        <v/>
      </c>
    </row>
    <row r="66" spans="1:7" x14ac:dyDescent="0.25">
      <c r="A66" s="56" t="str" cm="1">
        <f t="array" ref="A66">IF(INDEX($AA:$AA, INT((ROW(A66)-8)/4)+8)="","",IF(MOD(ROW(A66)-8,4)=0, INDEX($AA:$AA, INT((ROW(A66)-8)/4)+8), ""))</f>
        <v/>
      </c>
      <c r="B66" t="str" cm="1">
        <f t="array" ref="B66">IF(INDEX($AB:$AB, INT((ROW(B66)-8)/4)+8)="","", IF(MOD(ROW(B66)-8,4)=0, INDEX($AB:$AB, INT((ROW(B66)-8)/4)+8), ""))</f>
        <v/>
      </c>
      <c r="C66" s="22"/>
      <c r="D66" s="22"/>
      <c r="E66" s="22" t="str" cm="1">
        <f t="array" ref="E66">IF(INDEX($AE:$AE, INT((ROW(E66)-8)/4)+8)="","", IF(MOD(ROW(E66)-8,4)=0, INDEX($AE:$AE, INT((ROW(E66)-8)/4)+8), IF(MOD(ROW(E66)-8,4)=3, "Total Hours", "")))</f>
        <v/>
      </c>
      <c r="F66" s="66" t="str" cm="1">
        <f t="array" aca="1" ref="F66" ca="1">IF(INDEX($AF:$AF, INT((ROW(F66)-8)/4)+8)="","",
   IF(MOD(ROW(F66)-8,4)=0,
      INDEX($AF:$AF, INT((ROW(F66)-8)/4)+8),
      IF(MOD(ROW(F66)-8,4)=3,
         SUM(OFFSET(F66,-3,0,3,1)),
      "")
   )
)</f>
        <v/>
      </c>
      <c r="G66" t="str" cm="1">
        <f t="array" ref="G66">IF(INDEX($AG:$AG, INT((ROW(G66)-8)/4)+8)="","",
   IF(MOD(ROW(G66)-8,4)=0,
      INDEX($AG:$AG, INT((ROW(G66)-8)/4)+8),
      ""
   )
)</f>
        <v/>
      </c>
    </row>
    <row r="67" spans="1:7" x14ac:dyDescent="0.25">
      <c r="A67" s="56" t="str" cm="1">
        <f t="array" ref="A67">IF(INDEX($AA:$AA, INT((ROW(A67)-8)/4)+8)="","",IF(MOD(ROW(A67)-8,4)=0, INDEX($AA:$AA, INT((ROW(A67)-8)/4)+8), ""))</f>
        <v/>
      </c>
      <c r="B67" t="str" cm="1">
        <f t="array" ref="B67">IF(INDEX($AB:$AB, INT((ROW(B67)-8)/4)+8)="","", IF(MOD(ROW(B67)-8,4)=0, INDEX($AB:$AB, INT((ROW(B67)-8)/4)+8), ""))</f>
        <v/>
      </c>
      <c r="E67" s="4"/>
      <c r="F67" s="20" t="str" cm="1">
        <f t="array" aca="1" ref="F67" ca="1">IF(INDEX($AF:$AF, INT((ROW(F67)-8)/4)+8)="","",
   IF(MOD(ROW(F67)-8,4)=0,
      INDEX($AF:$AF, INT((ROW(F67)-8)/4)+8),
      IF(MOD(ROW(F67)-8,4)=3,
         SUM(OFFSET(F67,-3,0,3,1)),
      "")
   )
)</f>
        <v/>
      </c>
      <c r="G67" t="str" cm="1">
        <f t="array" ref="G67">IF(INDEX($AG:$AG, INT((ROW(G67)-8)/4)+8)="","",
   IF(MOD(ROW(G67)-8,4)=0,
      INDEX($AG:$AG, INT((ROW(G67)-8)/4)+8),
      ""
   )
)</f>
        <v/>
      </c>
    </row>
    <row r="68" spans="1:7" x14ac:dyDescent="0.25">
      <c r="A68" s="56"/>
      <c r="B68" t="str" cm="1">
        <f t="array" ref="B68">IF(INDEX($AB:$AB, INT((ROW(B68)-8)/4)+8)="","", IF(MOD(ROW(B68)-8,4)=0, INDEX($AB:$AB, INT((ROW(B68)-8)/4)+8), ""))</f>
        <v/>
      </c>
      <c r="E68" t="str" cm="1">
        <f t="array" ref="E68">IF(INDEX($AE:$AE, INT((ROW(E68)-8)/4)+8)="","", IF(MOD(ROW(E68)-8,4)=0, INDEX($AE:$AE, INT((ROW(E68)-8)/4)+8), IF(MOD(ROW(E68)-8,4)=3, "Total Hours", "")))</f>
        <v/>
      </c>
      <c r="F68" s="20" t="str" cm="1">
        <f t="array" aca="1" ref="F68" ca="1">IF(INDEX($AF:$AF, INT((ROW(F68)-8)/4)+8)="","",
   IF(MOD(ROW(F68)-8,4)=0,
      INDEX($AF:$AF, INT((ROW(F68)-8)/4)+8),
      IF(MOD(ROW(F68)-8,4)=3,
         SUM(OFFSET(F68,-3,0,3,1)),
      "")
   )
)</f>
        <v/>
      </c>
      <c r="G68" t="str" cm="1">
        <f t="array" ref="G68">IF(INDEX($AG:$AG, INT((ROW(G68)-8)/4)+8)="","",
   IF(MOD(ROW(G68)-8,4)=0,
      INDEX($AG:$AG, INT((ROW(G68)-8)/4)+8),
      ""
   )
)</f>
        <v/>
      </c>
    </row>
    <row r="69" spans="1:7" x14ac:dyDescent="0.25">
      <c r="A69" s="56" t="str" cm="1">
        <f t="array" ref="A69">IF(INDEX($AA:$AA, INT((ROW(A69)-8)/4)+8)="","",IF(MOD(ROW(A69)-8,4)=0, INDEX($AA:$AA, INT((ROW(A69)-8)/4)+8), ""))</f>
        <v/>
      </c>
      <c r="B69" t="str" cm="1">
        <f t="array" ref="B69">IF(INDEX($AB:$AB, INT((ROW(B69)-8)/4)+8)="","", IF(MOD(ROW(B69)-8,4)=0, INDEX($AB:$AB, INT((ROW(B69)-8)/4)+8), ""))</f>
        <v/>
      </c>
      <c r="C69" s="22"/>
      <c r="D69" s="22"/>
      <c r="E69" s="22" t="str" cm="1">
        <f t="array" ref="E69">IF(INDEX($AE:$AE, INT((ROW(E69)-8)/4)+8)="","", IF(MOD(ROW(E69)-8,4)=0, INDEX($AE:$AE, INT((ROW(E69)-8)/4)+8), IF(MOD(ROW(E69)-8,4)=3, "Total Hours", "")))</f>
        <v/>
      </c>
      <c r="F69" s="66" t="str" cm="1">
        <f t="array" aca="1" ref="F69" ca="1">IF(INDEX($AF:$AF, INT((ROW(F69)-8)/4)+8)="","",
   IF(MOD(ROW(F69)-8,4)=0,
      INDEX($AF:$AF, INT((ROW(F69)-8)/4)+8),
      IF(MOD(ROW(F69)-8,4)=3,
         SUM(OFFSET(F69,-3,0,3,1)),
      "")
   )
)</f>
        <v/>
      </c>
      <c r="G69" t="str" cm="1">
        <f t="array" ref="G69">IF(INDEX($AG:$AG, INT((ROW(G69)-8)/4)+8)="","",
   IF(MOD(ROW(G69)-8,4)=0,
      INDEX($AG:$AG, INT((ROW(G69)-8)/4)+8),
      ""
   )
)</f>
        <v/>
      </c>
    </row>
    <row r="70" spans="1:7" x14ac:dyDescent="0.25">
      <c r="A70" s="56" t="str" cm="1">
        <f t="array" ref="A70">IF(INDEX($AA:$AA, INT((ROW(A70)-8)/4)+8)="","",IF(MOD(ROW(A70)-8,4)=0, INDEX($AA:$AA, INT((ROW(A70)-8)/4)+8), ""))</f>
        <v/>
      </c>
      <c r="B70" t="str" cm="1">
        <f t="array" ref="B70">IF(INDEX($AB:$AB, INT((ROW(B70)-8)/4)+8)="","", IF(MOD(ROW(B70)-8,4)=0, INDEX($AB:$AB, INT((ROW(B70)-8)/4)+8), ""))</f>
        <v/>
      </c>
      <c r="C70" s="22"/>
      <c r="D70" s="22"/>
      <c r="E70" s="22" t="str" cm="1">
        <f t="array" ref="E70">IF(INDEX($AE:$AE, INT((ROW(E70)-8)/4)+8)="","", IF(MOD(ROW(E70)-8,4)=0, INDEX($AE:$AE, INT((ROW(E70)-8)/4)+8), IF(MOD(ROW(E70)-8,4)=3, "Total Hours", "")))</f>
        <v/>
      </c>
      <c r="F70" s="66" t="str" cm="1">
        <f t="array" aca="1" ref="F70" ca="1">IF(INDEX($AF:$AF, INT((ROW(F70)-8)/4)+8)="","",
   IF(MOD(ROW(F70)-8,4)=0,
      INDEX($AF:$AF, INT((ROW(F70)-8)/4)+8),
      IF(MOD(ROW(F70)-8,4)=3,
         SUM(OFFSET(F70,-3,0,3,1)),
      "")
   )
)</f>
        <v/>
      </c>
      <c r="G70" t="str" cm="1">
        <f t="array" ref="G70">IF(INDEX($AG:$AG, INT((ROW(G70)-8)/4)+8)="","",
   IF(MOD(ROW(G70)-8,4)=0,
      INDEX($AG:$AG, INT((ROW(G70)-8)/4)+8),
      ""
   )
)</f>
        <v/>
      </c>
    </row>
    <row r="71" spans="1:7" x14ac:dyDescent="0.25">
      <c r="A71" s="56"/>
      <c r="B71" t="str" cm="1">
        <f t="array" ref="B71">IF(INDEX($AB:$AB, INT((ROW(B71)-8)/4)+8)="","", IF(MOD(ROW(B71)-8,4)=0, INDEX($AB:$AB, INT((ROW(B71)-8)/4)+8), ""))</f>
        <v/>
      </c>
      <c r="E71" s="4"/>
      <c r="F71" s="20" t="str" cm="1">
        <f t="array" aca="1" ref="F71" ca="1">IF(INDEX($AF:$AF, INT((ROW(F71)-8)/4)+8)="","",
   IF(MOD(ROW(F71)-8,4)=0,
      INDEX($AF:$AF, INT((ROW(F71)-8)/4)+8),
      IF(MOD(ROW(F71)-8,4)=3,
         SUM(OFFSET(F71,-3,0,3,1)),
      "")
   )
)</f>
        <v/>
      </c>
      <c r="G71" t="str" cm="1">
        <f t="array" ref="G71">IF(INDEX($AG:$AG, INT((ROW(G71)-8)/4)+8)="","",
   IF(MOD(ROW(G71)-8,4)=0,
      INDEX($AG:$AG, INT((ROW(G71)-8)/4)+8),
      ""
   )
)</f>
        <v/>
      </c>
    </row>
    <row r="72" spans="1:7" x14ac:dyDescent="0.25">
      <c r="A72" s="56"/>
      <c r="B72" t="str" cm="1">
        <f t="array" ref="B72">IF(INDEX($AB:$AB, INT((ROW(B72)-8)/4)+8)="","", IF(MOD(ROW(B72)-8,4)=0, INDEX($AB:$AB, INT((ROW(B72)-8)/4)+8), ""))</f>
        <v/>
      </c>
      <c r="E72" t="str" cm="1">
        <f t="array" ref="E72">IF(INDEX($AE:$AE, INT((ROW(E72)-8)/4)+8)="","", IF(MOD(ROW(E72)-8,4)=0, INDEX($AE:$AE, INT((ROW(E72)-8)/4)+8), IF(MOD(ROW(E72)-8,4)=3, "Total Hours", "")))</f>
        <v/>
      </c>
      <c r="F72" s="20" t="str" cm="1">
        <f t="array" aca="1" ref="F72" ca="1">IF(INDEX($AF:$AF, INT((ROW(F72)-8)/4)+8)="","",
   IF(MOD(ROW(F72)-8,4)=0,
      INDEX($AF:$AF, INT((ROW(F72)-8)/4)+8),
      IF(MOD(ROW(F72)-8,4)=3,
         SUM(OFFSET(F72,-3,0,3,1)),
      "")
   )
)</f>
        <v/>
      </c>
      <c r="G72" t="str" cm="1">
        <f t="array" ref="G72">IF(INDEX($AG:$AG, INT((ROW(G72)-8)/4)+8)="","",
   IF(MOD(ROW(G72)-8,4)=0,
      INDEX($AG:$AG, INT((ROW(G72)-8)/4)+8),
      ""
   )
)</f>
        <v/>
      </c>
    </row>
    <row r="73" spans="1:7" x14ac:dyDescent="0.25">
      <c r="A73" s="56" t="str" cm="1">
        <f t="array" ref="A73">IF(INDEX($AA:$AA, INT((ROW(A73)-8)/4)+8)="","",IF(MOD(ROW(A73)-8,4)=0, INDEX($AA:$AA, INT((ROW(A73)-8)/4)+8), ""))</f>
        <v/>
      </c>
      <c r="B73" t="str" cm="1">
        <f t="array" ref="B73">IF(INDEX($AB:$AB, INT((ROW(B73)-8)/4)+8)="","", IF(MOD(ROW(B73)-8,4)=0, INDEX($AB:$AB, INT((ROW(B73)-8)/4)+8), ""))</f>
        <v/>
      </c>
      <c r="C73" s="22"/>
      <c r="D73" s="22"/>
      <c r="E73" s="22" t="str" cm="1">
        <f t="array" ref="E73">IF(INDEX($AE:$AE, INT((ROW(E73)-8)/4)+8)="","", IF(MOD(ROW(E73)-8,4)=0, INDEX($AE:$AE, INT((ROW(E73)-8)/4)+8), IF(MOD(ROW(E73)-8,4)=3, "Total Hours", "")))</f>
        <v/>
      </c>
      <c r="F73" s="66" t="str" cm="1">
        <f t="array" aca="1" ref="F73" ca="1">IF(INDEX($AF:$AF, INT((ROW(F73)-8)/4)+8)="","",
   IF(MOD(ROW(F73)-8,4)=0,
      INDEX($AF:$AF, INT((ROW(F73)-8)/4)+8),
      IF(MOD(ROW(F73)-8,4)=3,
         SUM(OFFSET(F73,-3,0,3,1)),
      "")
   )
)</f>
        <v/>
      </c>
      <c r="G73" t="str" cm="1">
        <f t="array" ref="G73">IF(INDEX($AG:$AG, INT((ROW(G73)-8)/4)+8)="","",
   IF(MOD(ROW(G73)-8,4)=0,
      INDEX($AG:$AG, INT((ROW(G73)-8)/4)+8),
      ""
   )
)</f>
        <v/>
      </c>
    </row>
    <row r="74" spans="1:7" x14ac:dyDescent="0.25">
      <c r="A74" s="56"/>
      <c r="B74" t="str" cm="1">
        <f t="array" ref="B74">IF(INDEX($AB:$AB, INT((ROW(B74)-8)/4)+8)="","", IF(MOD(ROW(B74)-8,4)=0, INDEX($AB:$AB, INT((ROW(B74)-8)/4)+8), ""))</f>
        <v/>
      </c>
      <c r="C74" s="22"/>
      <c r="D74" s="22"/>
      <c r="E74" s="22" t="str" cm="1">
        <f t="array" ref="E74">IF(INDEX($AE:$AE, INT((ROW(E74)-8)/4)+8)="","", IF(MOD(ROW(E74)-8,4)=0, INDEX($AE:$AE, INT((ROW(E74)-8)/4)+8), IF(MOD(ROW(E74)-8,4)=3, "Total Hours", "")))</f>
        <v/>
      </c>
      <c r="F74" s="66" t="str" cm="1">
        <f t="array" aca="1" ref="F74" ca="1">IF(INDEX($AF:$AF, INT((ROW(F74)-8)/4)+8)="","",
   IF(MOD(ROW(F74)-8,4)=0,
      INDEX($AF:$AF, INT((ROW(F74)-8)/4)+8),
      IF(MOD(ROW(F74)-8,4)=3,
         SUM(OFFSET(F74,-3,0,3,1)),
      "")
   )
)</f>
        <v/>
      </c>
      <c r="G74" t="str" cm="1">
        <f t="array" ref="G74">IF(INDEX($AG:$AG, INT((ROW(G74)-8)/4)+8)="","",
   IF(MOD(ROW(G74)-8,4)=0,
      INDEX($AG:$AG, INT((ROW(G74)-8)/4)+8),
      ""
   )
)</f>
        <v/>
      </c>
    </row>
    <row r="75" spans="1:7" x14ac:dyDescent="0.25">
      <c r="A75" s="56" t="str" cm="1">
        <f t="array" ref="A75">IF(INDEX($AA:$AA, INT((ROW(A75)-8)/4)+8)="","",IF(MOD(ROW(A75)-8,4)=0, INDEX($AA:$AA, INT((ROW(A75)-8)/4)+8), ""))</f>
        <v/>
      </c>
      <c r="B75" t="str" cm="1">
        <f t="array" ref="B75">IF(INDEX($AB:$AB, INT((ROW(B75)-8)/4)+8)="","", IF(MOD(ROW(B75)-8,4)=0, INDEX($AB:$AB, INT((ROW(B75)-8)/4)+8), ""))</f>
        <v/>
      </c>
      <c r="E75" s="4"/>
      <c r="F75" s="20" t="str" cm="1">
        <f t="array" aca="1" ref="F75" ca="1">IF(INDEX($AF:$AF, INT((ROW(F75)-8)/4)+8)="","",
   IF(MOD(ROW(F75)-8,4)=0,
      INDEX($AF:$AF, INT((ROW(F75)-8)/4)+8),
      IF(MOD(ROW(F75)-8,4)=3,
         SUM(OFFSET(F75,-3,0,3,1)),
      "")
   )
)</f>
        <v/>
      </c>
      <c r="G75" t="str" cm="1">
        <f t="array" ref="G75">IF(INDEX($AG:$AG, INT((ROW(G75)-8)/4)+8)="","",
   IF(MOD(ROW(G75)-8,4)=0,
      INDEX($AG:$AG, INT((ROW(G75)-8)/4)+8),
      ""
   )
)</f>
        <v/>
      </c>
    </row>
    <row r="76" spans="1:7" x14ac:dyDescent="0.25">
      <c r="A76" s="56"/>
      <c r="B76" t="str" cm="1">
        <f t="array" ref="B76">IF(INDEX($AB:$AB, INT((ROW(B76)-8)/4)+8)="","", IF(MOD(ROW(B76)-8,4)=0, INDEX($AB:$AB, INT((ROW(B76)-8)/4)+8), ""))</f>
        <v/>
      </c>
      <c r="E76" t="str" cm="1">
        <f t="array" ref="E76">IF(INDEX($AE:$AE, INT((ROW(E76)-8)/4)+8)="","", IF(MOD(ROW(E76)-8,4)=0, INDEX($AE:$AE, INT((ROW(E76)-8)/4)+8), IF(MOD(ROW(E76)-8,4)=3, "Total Hours", "")))</f>
        <v/>
      </c>
      <c r="F76" s="20" t="str" cm="1">
        <f t="array" aca="1" ref="F76" ca="1">IF(INDEX($AF:$AF, INT((ROW(F76)-8)/4)+8)="","",
   IF(MOD(ROW(F76)-8,4)=0,
      INDEX($AF:$AF, INT((ROW(F76)-8)/4)+8),
      IF(MOD(ROW(F76)-8,4)=3,
         SUM(OFFSET(F76,-3,0,3,1)),
      "")
   )
)</f>
        <v/>
      </c>
      <c r="G76" t="str" cm="1">
        <f t="array" ref="G76">IF(INDEX($AG:$AG, INT((ROW(G76)-8)/4)+8)="","",
   IF(MOD(ROW(G76)-8,4)=0,
      INDEX($AG:$AG, INT((ROW(G76)-8)/4)+8),
      ""
   )
)</f>
        <v/>
      </c>
    </row>
    <row r="77" spans="1:7" x14ac:dyDescent="0.25">
      <c r="A77" s="56" t="str" cm="1">
        <f t="array" ref="A77">IF(INDEX($AA:$AA, INT((ROW(A77)-8)/4)+8)="","",IF(MOD(ROW(A77)-8,4)=0, INDEX($AA:$AA, INT((ROW(A77)-8)/4)+8), ""))</f>
        <v/>
      </c>
      <c r="B77" t="str" cm="1">
        <f t="array" ref="B77">IF(INDEX($AB:$AB, INT((ROW(B77)-8)/4)+8)="","", IF(MOD(ROW(B77)-8,4)=0, INDEX($AB:$AB, INT((ROW(B77)-8)/4)+8), ""))</f>
        <v/>
      </c>
      <c r="C77" s="22"/>
      <c r="D77" s="22"/>
      <c r="E77" s="22" t="str" cm="1">
        <f t="array" ref="E77">IF(INDEX($AE:$AE, INT((ROW(E77)-8)/4)+8)="","", IF(MOD(ROW(E77)-8,4)=0, INDEX($AE:$AE, INT((ROW(E77)-8)/4)+8), IF(MOD(ROW(E77)-8,4)=3, "Total Hours", "")))</f>
        <v/>
      </c>
      <c r="F77" s="66" t="str" cm="1">
        <f t="array" aca="1" ref="F77" ca="1">IF(INDEX($AF:$AF, INT((ROW(F77)-8)/4)+8)="","",
   IF(MOD(ROW(F77)-8,4)=0,
      INDEX($AF:$AF, INT((ROW(F77)-8)/4)+8),
      IF(MOD(ROW(F77)-8,4)=3,
         SUM(OFFSET(F77,-3,0,3,1)),
      "")
   )
)</f>
        <v/>
      </c>
      <c r="G77" t="str" cm="1">
        <f t="array" ref="G77">IF(INDEX($AG:$AG, INT((ROW(G77)-8)/4)+8)="","",
   IF(MOD(ROW(G77)-8,4)=0,
      INDEX($AG:$AG, INT((ROW(G77)-8)/4)+8),
      ""
   )
)</f>
        <v/>
      </c>
    </row>
    <row r="78" spans="1:7" x14ac:dyDescent="0.25">
      <c r="A78" s="56"/>
      <c r="B78" t="str" cm="1">
        <f t="array" ref="B78">IF(INDEX($AB:$AB, INT((ROW(B78)-8)/4)+8)="","", IF(MOD(ROW(B78)-8,4)=0, INDEX($AB:$AB, INT((ROW(B78)-8)/4)+8), ""))</f>
        <v/>
      </c>
      <c r="C78" s="22"/>
      <c r="D78" s="22"/>
      <c r="E78" s="22" t="str" cm="1">
        <f t="array" ref="E78">IF(INDEX($AE:$AE, INT((ROW(E78)-8)/4)+8)="","", IF(MOD(ROW(E78)-8,4)=0, INDEX($AE:$AE, INT((ROW(E78)-8)/4)+8), IF(MOD(ROW(E78)-8,4)=3, "Total Hours", "")))</f>
        <v/>
      </c>
      <c r="F78" s="66" t="str" cm="1">
        <f t="array" aca="1" ref="F78" ca="1">IF(INDEX($AF:$AF, INT((ROW(F78)-8)/4)+8)="","",
   IF(MOD(ROW(F78)-8,4)=0,
      INDEX($AF:$AF, INT((ROW(F78)-8)/4)+8),
      IF(MOD(ROW(F78)-8,4)=3,
         SUM(OFFSET(F78,-3,0,3,1)),
      "")
   )
)</f>
        <v/>
      </c>
      <c r="G78" t="str" cm="1">
        <f t="array" ref="G78">IF(INDEX($AG:$AG, INT((ROW(G78)-8)/4)+8)="","",
   IF(MOD(ROW(G78)-8,4)=0,
      INDEX($AG:$AG, INT((ROW(G78)-8)/4)+8),
      ""
   )
)</f>
        <v/>
      </c>
    </row>
    <row r="79" spans="1:7" x14ac:dyDescent="0.25">
      <c r="A79" s="56" t="str" cm="1">
        <f t="array" ref="A79">IF(INDEX($AA:$AA, INT((ROW(A79)-8)/4)+8)="","",IF(MOD(ROW(A79)-8,4)=0, INDEX($AA:$AA, INT((ROW(A79)-8)/4)+8), ""))</f>
        <v/>
      </c>
      <c r="B79" t="str" cm="1">
        <f t="array" ref="B79">IF(INDEX($AB:$AB, INT((ROW(B79)-8)/4)+8)="","", IF(MOD(ROW(B79)-8,4)=0, INDEX($AB:$AB, INT((ROW(B79)-8)/4)+8), ""))</f>
        <v/>
      </c>
      <c r="E79" s="4"/>
      <c r="F79" s="20" t="str" cm="1">
        <f t="array" aca="1" ref="F79" ca="1">IF(INDEX($AF:$AF, INT((ROW(F79)-8)/4)+8)="","",
   IF(MOD(ROW(F79)-8,4)=0,
      INDEX($AF:$AF, INT((ROW(F79)-8)/4)+8),
      IF(MOD(ROW(F79)-8,4)=3,
         SUM(OFFSET(F79,-3,0,3,1)),
      "")
   )
)</f>
        <v/>
      </c>
      <c r="G79" t="str" cm="1">
        <f t="array" ref="G79">IF(INDEX($AG:$AG, INT((ROW(G79)-8)/4)+8)="","",
   IF(MOD(ROW(G79)-8,4)=0,
      INDEX($AG:$AG, INT((ROW(G79)-8)/4)+8),
      ""
   )
)</f>
        <v/>
      </c>
    </row>
    <row r="80" spans="1:7" x14ac:dyDescent="0.25">
      <c r="A80" s="56"/>
      <c r="B80" t="str" cm="1">
        <f t="array" ref="B80">IF(INDEX($AB:$AB, INT((ROW(B80)-8)/4)+8)="","", IF(MOD(ROW(B80)-8,4)=0, INDEX($AB:$AB, INT((ROW(B80)-8)/4)+8), ""))</f>
        <v/>
      </c>
      <c r="E80" t="str" cm="1">
        <f t="array" ref="E80">IF(INDEX($AE:$AE, INT((ROW(E80)-8)/4)+8)="","", IF(MOD(ROW(E80)-8,4)=0, INDEX($AE:$AE, INT((ROW(E80)-8)/4)+8), IF(MOD(ROW(E80)-8,4)=3, "Total Hours", "")))</f>
        <v/>
      </c>
      <c r="F80" s="20" t="str" cm="1">
        <f t="array" aca="1" ref="F80" ca="1">IF(INDEX($AF:$AF, INT((ROW(F80)-8)/4)+8)="","",
   IF(MOD(ROW(F80)-8,4)=0,
      INDEX($AF:$AF, INT((ROW(F80)-8)/4)+8),
      IF(MOD(ROW(F80)-8,4)=3,
         SUM(OFFSET(F80,-3,0,3,1)),
      "")
   )
)</f>
        <v/>
      </c>
      <c r="G80" t="str" cm="1">
        <f t="array" ref="G80">IF(INDEX($AG:$AG, INT((ROW(G80)-8)/4)+8)="","",
   IF(MOD(ROW(G80)-8,4)=0,
      INDEX($AG:$AG, INT((ROW(G80)-8)/4)+8),
      ""
   )
)</f>
        <v/>
      </c>
    </row>
    <row r="81" spans="1:7" x14ac:dyDescent="0.25">
      <c r="A81" s="56" t="str" cm="1">
        <f t="array" ref="A81">IF(INDEX($AA:$AA, INT((ROW(A81)-8)/4)+8)="","",IF(MOD(ROW(A81)-8,4)=0, INDEX($AA:$AA, INT((ROW(A81)-8)/4)+8), ""))</f>
        <v/>
      </c>
      <c r="B81" t="str" cm="1">
        <f t="array" ref="B81">IF(INDEX($AB:$AB, INT((ROW(B81)-8)/4)+8)="","", IF(MOD(ROW(B81)-8,4)=0, INDEX($AB:$AB, INT((ROW(B81)-8)/4)+8), ""))</f>
        <v/>
      </c>
      <c r="C81" s="22"/>
      <c r="D81" s="22"/>
      <c r="E81" s="22" t="str" cm="1">
        <f t="array" ref="E81">IF(INDEX($AE:$AE, INT((ROW(E81)-8)/4)+8)="","", IF(MOD(ROW(E81)-8,4)=0, INDEX($AE:$AE, INT((ROW(E81)-8)/4)+8), IF(MOD(ROW(E81)-8,4)=3, "Total Hours", "")))</f>
        <v/>
      </c>
      <c r="F81" s="66" t="str" cm="1">
        <f t="array" aca="1" ref="F81" ca="1">IF(INDEX($AF:$AF, INT((ROW(F81)-8)/4)+8)="","",
   IF(MOD(ROW(F81)-8,4)=0,
      INDEX($AF:$AF, INT((ROW(F81)-8)/4)+8),
      IF(MOD(ROW(F81)-8,4)=3,
         SUM(OFFSET(F81,-3,0,3,1)),
      "")
   )
)</f>
        <v/>
      </c>
      <c r="G81" t="str" cm="1">
        <f t="array" ref="G81">IF(INDEX($AG:$AG, INT((ROW(G81)-8)/4)+8)="","",
   IF(MOD(ROW(G81)-8,4)=0,
      INDEX($AG:$AG, INT((ROW(G81)-8)/4)+8),
      ""
   )
)</f>
        <v/>
      </c>
    </row>
    <row r="82" spans="1:7" x14ac:dyDescent="0.25">
      <c r="A82" s="56"/>
      <c r="B82" t="str" cm="1">
        <f t="array" ref="B82">IF(INDEX($AB:$AB, INT((ROW(B82)-8)/4)+8)="","", IF(MOD(ROW(B82)-8,4)=0, INDEX($AB:$AB, INT((ROW(B82)-8)/4)+8), ""))</f>
        <v/>
      </c>
      <c r="C82" s="22"/>
      <c r="D82" s="22"/>
      <c r="E82" s="22" t="str" cm="1">
        <f t="array" ref="E82">IF(INDEX($AE:$AE, INT((ROW(E82)-8)/4)+8)="","", IF(MOD(ROW(E82)-8,4)=0, INDEX($AE:$AE, INT((ROW(E82)-8)/4)+8), IF(MOD(ROW(E82)-8,4)=3, "Total Hours", "")))</f>
        <v/>
      </c>
      <c r="F82" s="66" t="str" cm="1">
        <f t="array" aca="1" ref="F82" ca="1">IF(INDEX($AF:$AF, INT((ROW(F82)-8)/4)+8)="","",
   IF(MOD(ROW(F82)-8,4)=0,
      INDEX($AF:$AF, INT((ROW(F82)-8)/4)+8),
      IF(MOD(ROW(F82)-8,4)=3,
         SUM(OFFSET(F82,-3,0,3,1)),
      "")
   )
)</f>
        <v/>
      </c>
      <c r="G82" t="str" cm="1">
        <f t="array" ref="G82">IF(INDEX($AG:$AG, INT((ROW(G82)-8)/4)+8)="","",
   IF(MOD(ROW(G82)-8,4)=0,
      INDEX($AG:$AG, INT((ROW(G82)-8)/4)+8),
      ""
   )
)</f>
        <v/>
      </c>
    </row>
    <row r="83" spans="1:7" x14ac:dyDescent="0.25">
      <c r="A83" s="56" t="str" cm="1">
        <f t="array" ref="A83">IF(INDEX($AA:$AA, INT((ROW(A83)-8)/4)+8)="","",IF(MOD(ROW(A83)-8,4)=0, INDEX($AA:$AA, INT((ROW(A83)-8)/4)+8), ""))</f>
        <v/>
      </c>
      <c r="B83" t="str" cm="1">
        <f t="array" ref="B83">IF(INDEX($AB:$AB, INT((ROW(B83)-8)/4)+8)="","", IF(MOD(ROW(B83)-8,4)=0, INDEX($AB:$AB, INT((ROW(B83)-8)/4)+8), ""))</f>
        <v/>
      </c>
      <c r="E83" s="4"/>
      <c r="F83" s="20" t="str" cm="1">
        <f t="array" aca="1" ref="F83" ca="1">IF(INDEX($AF:$AF, INT((ROW(F83)-8)/4)+8)="","",
   IF(MOD(ROW(F83)-8,4)=0,
      INDEX($AF:$AF, INT((ROW(F83)-8)/4)+8),
      IF(MOD(ROW(F83)-8,4)=3,
         SUM(OFFSET(F83,-3,0,3,1)),
      "")
   )
)</f>
        <v/>
      </c>
      <c r="G83" t="str" cm="1">
        <f t="array" ref="G83">IF(INDEX($AG:$AG, INT((ROW(G83)-8)/4)+8)="","",
   IF(MOD(ROW(G83)-8,4)=0,
      INDEX($AG:$AG, INT((ROW(G83)-8)/4)+8),
      ""
   )
)</f>
        <v/>
      </c>
    </row>
    <row r="84" spans="1:7" x14ac:dyDescent="0.25">
      <c r="A84" s="56"/>
      <c r="B84" t="str" cm="1">
        <f t="array" ref="B84">IF(INDEX($AB:$AB, INT((ROW(B84)-8)/4)+8)="","", IF(MOD(ROW(B84)-8,4)=0, INDEX($AB:$AB, INT((ROW(B84)-8)/4)+8), ""))</f>
        <v/>
      </c>
      <c r="E84" t="str" cm="1">
        <f t="array" ref="E84">IF(INDEX($AE:$AE, INT((ROW(E84)-8)/4)+8)="","", IF(MOD(ROW(E84)-8,4)=0, INDEX($AE:$AE, INT((ROW(E84)-8)/4)+8), IF(MOD(ROW(E84)-8,4)=3, "Total Hours", "")))</f>
        <v/>
      </c>
      <c r="F84" s="20" t="str" cm="1">
        <f t="array" aca="1" ref="F84" ca="1">IF(INDEX($AF:$AF, INT((ROW(F84)-8)/4)+8)="","",
   IF(MOD(ROW(F84)-8,4)=0,
      INDEX($AF:$AF, INT((ROW(F84)-8)/4)+8),
      IF(MOD(ROW(F84)-8,4)=3,
         SUM(OFFSET(F84,-3,0,3,1)),
      "")
   )
)</f>
        <v/>
      </c>
      <c r="G84" t="str" cm="1">
        <f t="array" ref="G84">IF(INDEX($AG:$AG, INT((ROW(G84)-8)/4)+8)="","",
   IF(MOD(ROW(G84)-8,4)=0,
      INDEX($AG:$AG, INT((ROW(G84)-8)/4)+8),
      ""
   )
)</f>
        <v/>
      </c>
    </row>
    <row r="85" spans="1:7" x14ac:dyDescent="0.25">
      <c r="A85" s="56" t="str" cm="1">
        <f t="array" ref="A85">IF(INDEX($AA:$AA, INT((ROW(A85)-8)/4)+8)="","",IF(MOD(ROW(A85)-8,4)=0, INDEX($AA:$AA, INT((ROW(A85)-8)/4)+8), ""))</f>
        <v/>
      </c>
      <c r="B85" t="str" cm="1">
        <f t="array" ref="B85">IF(INDEX($AB:$AB, INT((ROW(B85)-8)/4)+8)="","", IF(MOD(ROW(B85)-8,4)=0, INDEX($AB:$AB, INT((ROW(B85)-8)/4)+8), ""))</f>
        <v/>
      </c>
      <c r="C85" s="22"/>
      <c r="D85" s="22"/>
      <c r="E85" s="22" t="str" cm="1">
        <f t="array" ref="E85">IF(INDEX($AE:$AE, INT((ROW(E85)-8)/4)+8)="","", IF(MOD(ROW(E85)-8,4)=0, INDEX($AE:$AE, INT((ROW(E85)-8)/4)+8), IF(MOD(ROW(E85)-8,4)=3, "Total Hours", "")))</f>
        <v/>
      </c>
      <c r="F85" s="66" t="str" cm="1">
        <f t="array" aca="1" ref="F85" ca="1">IF(INDEX($AF:$AF, INT((ROW(F85)-8)/4)+8)="","",
   IF(MOD(ROW(F85)-8,4)=0,
      INDEX($AF:$AF, INT((ROW(F85)-8)/4)+8),
      IF(MOD(ROW(F85)-8,4)=3,
         SUM(OFFSET(F85,-3,0,3,1)),
      "")
   )
)</f>
        <v/>
      </c>
      <c r="G85" t="str" cm="1">
        <f t="array" ref="G85">IF(INDEX($AG:$AG, INT((ROW(G85)-8)/4)+8)="","",
   IF(MOD(ROW(G85)-8,4)=0,
      INDEX($AG:$AG, INT((ROW(G85)-8)/4)+8),
      ""
   )
)</f>
        <v/>
      </c>
    </row>
    <row r="86" spans="1:7" x14ac:dyDescent="0.25">
      <c r="A86" s="56"/>
      <c r="B86" t="str" cm="1">
        <f t="array" ref="B86">IF(INDEX($AB:$AB, INT((ROW(B86)-8)/4)+8)="","", IF(MOD(ROW(B86)-8,4)=0, INDEX($AB:$AB, INT((ROW(B86)-8)/4)+8), ""))</f>
        <v/>
      </c>
      <c r="C86" s="22"/>
      <c r="D86" s="22"/>
      <c r="E86" s="22" t="str" cm="1">
        <f t="array" ref="E86">IF(INDEX($AE:$AE, INT((ROW(E86)-8)/4)+8)="","", IF(MOD(ROW(E86)-8,4)=0, INDEX($AE:$AE, INT((ROW(E86)-8)/4)+8), IF(MOD(ROW(E86)-8,4)=3, "Total Hours", "")))</f>
        <v/>
      </c>
      <c r="F86" s="66" t="str" cm="1">
        <f t="array" aca="1" ref="F86" ca="1">IF(INDEX($AF:$AF, INT((ROW(F86)-8)/4)+8)="","",
   IF(MOD(ROW(F86)-8,4)=0,
      INDEX($AF:$AF, INT((ROW(F86)-8)/4)+8),
      IF(MOD(ROW(F86)-8,4)=3,
         SUM(OFFSET(F86,-3,0,3,1)),
      "")
   )
)</f>
        <v/>
      </c>
      <c r="G86" t="str" cm="1">
        <f t="array" ref="G86">IF(INDEX($AG:$AG, INT((ROW(G86)-8)/4)+8)="","",
   IF(MOD(ROW(G86)-8,4)=0,
      INDEX($AG:$AG, INT((ROW(G86)-8)/4)+8),
      ""
   )
)</f>
        <v/>
      </c>
    </row>
    <row r="87" spans="1:7" x14ac:dyDescent="0.25">
      <c r="A87" s="56" t="str" cm="1">
        <f t="array" ref="A87">IF(INDEX($AA:$AA, INT((ROW(A87)-8)/4)+8)="","",IF(MOD(ROW(A87)-8,4)=0, INDEX($AA:$AA, INT((ROW(A87)-8)/4)+8), ""))</f>
        <v/>
      </c>
      <c r="B87" t="str" cm="1">
        <f t="array" ref="B87">IF(INDEX($AB:$AB, INT((ROW(B87)-8)/4)+8)="","", IF(MOD(ROW(B87)-8,4)=0, INDEX($AB:$AB, INT((ROW(B87)-8)/4)+8), ""))</f>
        <v/>
      </c>
      <c r="E87" s="4"/>
      <c r="F87" s="20" t="str" cm="1">
        <f t="array" aca="1" ref="F87" ca="1">IF(INDEX($AF:$AF, INT((ROW(F87)-8)/4)+8)="","",
   IF(MOD(ROW(F87)-8,4)=0,
      INDEX($AF:$AF, INT((ROW(F87)-8)/4)+8),
      IF(MOD(ROW(F87)-8,4)=3,
         SUM(OFFSET(F87,-3,0,3,1)),
      "")
   )
)</f>
        <v/>
      </c>
      <c r="G87" t="str" cm="1">
        <f t="array" ref="G87">IF(INDEX($AG:$AG, INT((ROW(G87)-8)/4)+8)="","",
   IF(MOD(ROW(G87)-8,4)=0,
      INDEX($AG:$AG, INT((ROW(G87)-8)/4)+8),
      ""
   )
)</f>
        <v/>
      </c>
    </row>
    <row r="88" spans="1:7" x14ac:dyDescent="0.25">
      <c r="A88" s="56"/>
      <c r="B88" t="str" cm="1">
        <f t="array" ref="B88">IF(INDEX($AB:$AB, INT((ROW(B88)-8)/4)+8)="","", IF(MOD(ROW(B88)-8,4)=0, INDEX($AB:$AB, INT((ROW(B88)-8)/4)+8), ""))</f>
        <v/>
      </c>
      <c r="E88" t="str" cm="1">
        <f t="array" ref="E88">IF(INDEX($AE:$AE, INT((ROW(E88)-8)/4)+8)="","", IF(MOD(ROW(E88)-8,4)=0, INDEX($AE:$AE, INT((ROW(E88)-8)/4)+8), IF(MOD(ROW(E88)-8,4)=3, "Total Hours", "")))</f>
        <v/>
      </c>
      <c r="F88" s="20" t="str" cm="1">
        <f t="array" aca="1" ref="F88" ca="1">IF(INDEX($AF:$AF, INT((ROW(F88)-8)/4)+8)="","",
   IF(MOD(ROW(F88)-8,4)=0,
      INDEX($AF:$AF, INT((ROW(F88)-8)/4)+8),
      IF(MOD(ROW(F88)-8,4)=3,
         SUM(OFFSET(F88,-3,0,3,1)),
      "")
   )
)</f>
        <v/>
      </c>
      <c r="G88" t="str" cm="1">
        <f t="array" ref="G88">IF(INDEX($AG:$AG, INT((ROW(G88)-8)/4)+8)="","",
   IF(MOD(ROW(G88)-8,4)=0,
      INDEX($AG:$AG, INT((ROW(G88)-8)/4)+8),
      ""
   )
)</f>
        <v/>
      </c>
    </row>
    <row r="89" spans="1:7" x14ac:dyDescent="0.25">
      <c r="A89" s="56" t="str" cm="1">
        <f t="array" ref="A89">IF(INDEX($AA:$AA, INT((ROW(A89)-8)/4)+8)="","",IF(MOD(ROW(A89)-8,4)=0, INDEX($AA:$AA, INT((ROW(A89)-8)/4)+8), ""))</f>
        <v/>
      </c>
      <c r="B89" t="str" cm="1">
        <f t="array" ref="B89">IF(INDEX($AB:$AB, INT((ROW(B89)-8)/4)+8)="","", IF(MOD(ROW(B89)-8,4)=0, INDEX($AB:$AB, INT((ROW(B89)-8)/4)+8), ""))</f>
        <v/>
      </c>
      <c r="C89" s="22"/>
      <c r="D89" s="22"/>
      <c r="E89" s="22" t="str" cm="1">
        <f t="array" ref="E89">IF(INDEX($AE:$AE, INT((ROW(E89)-8)/4)+8)="","", IF(MOD(ROW(E89)-8,4)=0, INDEX($AE:$AE, INT((ROW(E89)-8)/4)+8), IF(MOD(ROW(E89)-8,4)=3, "Total Hours", "")))</f>
        <v/>
      </c>
      <c r="F89" s="66" t="str" cm="1">
        <f t="array" aca="1" ref="F89" ca="1">IF(INDEX($AF:$AF, INT((ROW(F89)-8)/4)+8)="","",
   IF(MOD(ROW(F89)-8,4)=0,
      INDEX($AF:$AF, INT((ROW(F89)-8)/4)+8),
      IF(MOD(ROW(F89)-8,4)=3,
         SUM(OFFSET(F89,-3,0,3,1)),
      "")
   )
)</f>
        <v/>
      </c>
      <c r="G89" t="str" cm="1">
        <f t="array" ref="G89">IF(INDEX($AG:$AG, INT((ROW(G89)-8)/4)+8)="","",
   IF(MOD(ROW(G89)-8,4)=0,
      INDEX($AG:$AG, INT((ROW(G89)-8)/4)+8),
      ""
   )
)</f>
        <v/>
      </c>
    </row>
    <row r="90" spans="1:7" x14ac:dyDescent="0.25">
      <c r="A90" s="56"/>
      <c r="B90" t="str" cm="1">
        <f t="array" ref="B90">IF(INDEX($AB:$AB, INT((ROW(B90)-8)/4)+8)="","", IF(MOD(ROW(B90)-8,4)=0, INDEX($AB:$AB, INT((ROW(B90)-8)/4)+8), ""))</f>
        <v/>
      </c>
      <c r="C90" s="22"/>
      <c r="D90" s="22"/>
      <c r="E90" s="22" t="str" cm="1">
        <f t="array" ref="E90">IF(INDEX($AE:$AE, INT((ROW(E90)-8)/4)+8)="","", IF(MOD(ROW(E90)-8,4)=0, INDEX($AE:$AE, INT((ROW(E90)-8)/4)+8), IF(MOD(ROW(E90)-8,4)=3, "Total Hours", "")))</f>
        <v/>
      </c>
      <c r="F90" s="66" t="str" cm="1">
        <f t="array" aca="1" ref="F90" ca="1">IF(INDEX($AF:$AF, INT((ROW(F90)-8)/4)+8)="","",
   IF(MOD(ROW(F90)-8,4)=0,
      INDEX($AF:$AF, INT((ROW(F90)-8)/4)+8),
      IF(MOD(ROW(F90)-8,4)=3,
         SUM(OFFSET(F90,-3,0,3,1)),
      "")
   )
)</f>
        <v/>
      </c>
      <c r="G90" t="str" cm="1">
        <f t="array" ref="G90">IF(INDEX($AG:$AG, INT((ROW(G90)-8)/4)+8)="","",
   IF(MOD(ROW(G90)-8,4)=0,
      INDEX($AG:$AG, INT((ROW(G90)-8)/4)+8),
      ""
   )
)</f>
        <v/>
      </c>
    </row>
    <row r="91" spans="1:7" x14ac:dyDescent="0.25">
      <c r="A91" s="56" t="str" cm="1">
        <f t="array" ref="A91">IF(INDEX($AA:$AA, INT((ROW(A91)-8)/4)+8)="","",IF(MOD(ROW(A91)-8,4)=0, INDEX($AA:$AA, INT((ROW(A91)-8)/4)+8), ""))</f>
        <v/>
      </c>
      <c r="B91" t="str" cm="1">
        <f t="array" ref="B91">IF(INDEX($AB:$AB, INT((ROW(B91)-8)/4)+8)="","", IF(MOD(ROW(B91)-8,4)=0, INDEX($AB:$AB, INT((ROW(B91)-8)/4)+8), ""))</f>
        <v/>
      </c>
      <c r="E91" s="4"/>
      <c r="F91" s="20" t="str" cm="1">
        <f t="array" aca="1" ref="F91" ca="1">IF(INDEX($AF:$AF, INT((ROW(F91)-8)/4)+8)="","",
   IF(MOD(ROW(F91)-8,4)=0,
      INDEX($AF:$AF, INT((ROW(F91)-8)/4)+8),
      IF(MOD(ROW(F91)-8,4)=3,
         SUM(OFFSET(F91,-3,0,3,1)),
      "")
   )
)</f>
        <v/>
      </c>
      <c r="G91" t="str" cm="1">
        <f t="array" ref="G91">IF(INDEX($AG:$AG, INT((ROW(G91)-8)/4)+8)="","",
   IF(MOD(ROW(G91)-8,4)=0,
      INDEX($AG:$AG, INT((ROW(G91)-8)/4)+8),
      ""
   )
)</f>
        <v/>
      </c>
    </row>
    <row r="92" spans="1:7" x14ac:dyDescent="0.25">
      <c r="A92" s="56"/>
      <c r="B92" t="str" cm="1">
        <f t="array" ref="B92">IF(INDEX($AB:$AB, INT((ROW(B92)-8)/4)+8)="","", IF(MOD(ROW(B92)-8,4)=0, INDEX($AB:$AB, INT((ROW(B92)-8)/4)+8), ""))</f>
        <v/>
      </c>
      <c r="E92" t="str" cm="1">
        <f t="array" ref="E92">IF(INDEX($AE:$AE, INT((ROW(E92)-8)/4)+8)="","", IF(MOD(ROW(E92)-8,4)=0, INDEX($AE:$AE, INT((ROW(E92)-8)/4)+8), IF(MOD(ROW(E92)-8,4)=3, "Total Hours", "")))</f>
        <v/>
      </c>
      <c r="F92" s="20" t="str" cm="1">
        <f t="array" aca="1" ref="F92" ca="1">IF(INDEX($AF:$AF, INT((ROW(F92)-8)/4)+8)="","",
   IF(MOD(ROW(F92)-8,4)=0,
      INDEX($AF:$AF, INT((ROW(F92)-8)/4)+8),
      IF(MOD(ROW(F92)-8,4)=3,
         SUM(OFFSET(F92,-3,0,3,1)),
      "")
   )
)</f>
        <v/>
      </c>
      <c r="G92" t="str" cm="1">
        <f t="array" ref="G92">IF(INDEX($AG:$AG, INT((ROW(G92)-8)/4)+8)="","",
   IF(MOD(ROW(G92)-8,4)=0,
      INDEX($AG:$AG, INT((ROW(G92)-8)/4)+8),
      ""
   )
)</f>
        <v/>
      </c>
    </row>
    <row r="93" spans="1:7" x14ac:dyDescent="0.25">
      <c r="A93" s="56" t="str" cm="1">
        <f t="array" ref="A93">IF(INDEX($AA:$AA, INT((ROW(A93)-8)/4)+8)="","",IF(MOD(ROW(A93)-8,4)=0, INDEX($AA:$AA, INT((ROW(A93)-8)/4)+8), ""))</f>
        <v/>
      </c>
      <c r="B93" t="str" cm="1">
        <f t="array" ref="B93">IF(INDEX($AB:$AB, INT((ROW(B93)-8)/4)+8)="","", IF(MOD(ROW(B93)-8,4)=0, INDEX($AB:$AB, INT((ROW(B93)-8)/4)+8), ""))</f>
        <v/>
      </c>
      <c r="C93" s="22"/>
      <c r="D93" s="22"/>
      <c r="E93" s="22" t="str" cm="1">
        <f t="array" ref="E93">IF(INDEX($AE:$AE, INT((ROW(E93)-8)/4)+8)="","", IF(MOD(ROW(E93)-8,4)=0, INDEX($AE:$AE, INT((ROW(E93)-8)/4)+8), IF(MOD(ROW(E93)-8,4)=3, "Total Hours", "")))</f>
        <v/>
      </c>
      <c r="F93" s="66" t="str" cm="1">
        <f t="array" aca="1" ref="F93" ca="1">IF(INDEX($AF:$AF, INT((ROW(F93)-8)/4)+8)="","",
   IF(MOD(ROW(F93)-8,4)=0,
      INDEX($AF:$AF, INT((ROW(F93)-8)/4)+8),
      IF(MOD(ROW(F93)-8,4)=3,
         SUM(OFFSET(F93,-3,0,3,1)),
      "")
   )
)</f>
        <v/>
      </c>
      <c r="G93" t="str" cm="1">
        <f t="array" ref="G93">IF(INDEX($AG:$AG, INT((ROW(G93)-8)/4)+8)="","",
   IF(MOD(ROW(G93)-8,4)=0,
      INDEX($AG:$AG, INT((ROW(G93)-8)/4)+8),
      ""
   )
)</f>
        <v/>
      </c>
    </row>
    <row r="94" spans="1:7" x14ac:dyDescent="0.25">
      <c r="A94" s="56"/>
      <c r="B94" t="str" cm="1">
        <f t="array" ref="B94">IF(INDEX($AB:$AB, INT((ROW(B94)-8)/4)+8)="","", IF(MOD(ROW(B94)-8,4)=0, INDEX($AB:$AB, INT((ROW(B94)-8)/4)+8), ""))</f>
        <v/>
      </c>
      <c r="C94" s="22"/>
      <c r="D94" s="22"/>
      <c r="E94" s="22" t="str" cm="1">
        <f t="array" ref="E94">IF(INDEX($AE:$AE, INT((ROW(E94)-8)/4)+8)="","", IF(MOD(ROW(E94)-8,4)=0, INDEX($AE:$AE, INT((ROW(E94)-8)/4)+8), IF(MOD(ROW(E94)-8,4)=3, "Total Hours", "")))</f>
        <v/>
      </c>
      <c r="F94" s="66" t="str" cm="1">
        <f t="array" aca="1" ref="F94" ca="1">IF(INDEX($AF:$AF, INT((ROW(F94)-8)/4)+8)="","",
   IF(MOD(ROW(F94)-8,4)=0,
      INDEX($AF:$AF, INT((ROW(F94)-8)/4)+8),
      IF(MOD(ROW(F94)-8,4)=3,
         SUM(OFFSET(F94,-3,0,3,1)),
      "")
   )
)</f>
        <v/>
      </c>
      <c r="G94" t="str" cm="1">
        <f t="array" ref="G94">IF(INDEX($AG:$AG, INT((ROW(G94)-8)/4)+8)="","",
   IF(MOD(ROW(G94)-8,4)=0,
      INDEX($AG:$AG, INT((ROW(G94)-8)/4)+8),
      ""
   )
)</f>
        <v/>
      </c>
    </row>
    <row r="95" spans="1:7" x14ac:dyDescent="0.25">
      <c r="A95" s="56" t="str" cm="1">
        <f t="array" ref="A95">IF(INDEX($AA:$AA, INT((ROW(A95)-8)/4)+8)="","",IF(MOD(ROW(A95)-8,4)=0, INDEX($AA:$AA, INT((ROW(A95)-8)/4)+8), ""))</f>
        <v/>
      </c>
      <c r="B95" t="str" cm="1">
        <f t="array" ref="B95">IF(INDEX($AB:$AB, INT((ROW(B95)-8)/4)+8)="","", IF(MOD(ROW(B95)-8,4)=0, INDEX($AB:$AB, INT((ROW(B95)-8)/4)+8), ""))</f>
        <v/>
      </c>
      <c r="E95" s="4"/>
      <c r="F95" s="20" t="str" cm="1">
        <f t="array" aca="1" ref="F95" ca="1">IF(INDEX($AF:$AF, INT((ROW(F95)-8)/4)+8)="","",
   IF(MOD(ROW(F95)-8,4)=0,
      INDEX($AF:$AF, INT((ROW(F95)-8)/4)+8),
      IF(MOD(ROW(F95)-8,4)=3,
         SUM(OFFSET(F95,-3,0,3,1)),
      "")
   )
)</f>
        <v/>
      </c>
      <c r="G95" t="str" cm="1">
        <f t="array" ref="G95">IF(INDEX($AG:$AG, INT((ROW(G95)-8)/4)+8)="","",
   IF(MOD(ROW(G95)-8,4)=0,
      INDEX($AG:$AG, INT((ROW(G95)-8)/4)+8),
      ""
   )
)</f>
        <v/>
      </c>
    </row>
    <row r="96" spans="1:7" x14ac:dyDescent="0.25">
      <c r="A96" s="56"/>
      <c r="B96" t="str" cm="1">
        <f t="array" ref="B96">IF(INDEX($AB:$AB, INT((ROW(B96)-8)/4)+8)="","", IF(MOD(ROW(B96)-8,4)=0, INDEX($AB:$AB, INT((ROW(B96)-8)/4)+8), ""))</f>
        <v/>
      </c>
      <c r="E96" t="str" cm="1">
        <f t="array" ref="E96">IF(INDEX($AE:$AE, INT((ROW(E96)-8)/4)+8)="","", IF(MOD(ROW(E96)-8,4)=0, INDEX($AE:$AE, INT((ROW(E96)-8)/4)+8), IF(MOD(ROW(E96)-8,4)=3, "Total Hours", "")))</f>
        <v/>
      </c>
      <c r="F96" s="20" t="str" cm="1">
        <f t="array" aca="1" ref="F96" ca="1">IF(INDEX($AF:$AF, INT((ROW(F96)-8)/4)+8)="","",
   IF(MOD(ROW(F96)-8,4)=0,
      INDEX($AF:$AF, INT((ROW(F96)-8)/4)+8),
      IF(MOD(ROW(F96)-8,4)=3,
         SUM(OFFSET(F96,-3,0,3,1)),
      "")
   )
)</f>
        <v/>
      </c>
      <c r="G96" t="str" cm="1">
        <f t="array" ref="G96">IF(INDEX($AG:$AG, INT((ROW(G96)-8)/4)+8)="","",
   IF(MOD(ROW(G96)-8,4)=0,
      INDEX($AG:$AG, INT((ROW(G96)-8)/4)+8),
      ""
   )
)</f>
        <v/>
      </c>
    </row>
    <row r="97" spans="1:7" x14ac:dyDescent="0.25">
      <c r="A97" s="56" t="str" cm="1">
        <f t="array" ref="A97">IF(INDEX($AA:$AA, INT((ROW(A97)-8)/4)+8)="","",IF(MOD(ROW(A97)-8,4)=0, INDEX($AA:$AA, INT((ROW(A97)-8)/4)+8), ""))</f>
        <v/>
      </c>
      <c r="B97" t="str" cm="1">
        <f t="array" ref="B97">IF(INDEX($AB:$AB, INT((ROW(B97)-8)/4)+8)="","", IF(MOD(ROW(B97)-8,4)=0, INDEX($AB:$AB, INT((ROW(B97)-8)/4)+8), ""))</f>
        <v/>
      </c>
      <c r="C97" s="22"/>
      <c r="D97" s="22"/>
      <c r="E97" s="22" t="str" cm="1">
        <f t="array" ref="E97">IF(INDEX($AE:$AE, INT((ROW(E97)-8)/4)+8)="","", IF(MOD(ROW(E97)-8,4)=0, INDEX($AE:$AE, INT((ROW(E97)-8)/4)+8), IF(MOD(ROW(E97)-8,4)=3, "Total Hours", "")))</f>
        <v/>
      </c>
      <c r="F97" s="66" t="str" cm="1">
        <f t="array" aca="1" ref="F97" ca="1">IF(INDEX($AF:$AF, INT((ROW(F97)-8)/4)+8)="","",
   IF(MOD(ROW(F97)-8,4)=0,
      INDEX($AF:$AF, INT((ROW(F97)-8)/4)+8),
      IF(MOD(ROW(F97)-8,4)=3,
         SUM(OFFSET(F97,-3,0,3,1)),
      "")
   )
)</f>
        <v/>
      </c>
      <c r="G97" t="str" cm="1">
        <f t="array" ref="G97">IF(INDEX($AG:$AG, INT((ROW(G97)-8)/4)+8)="","",
   IF(MOD(ROW(G97)-8,4)=0,
      INDEX($AG:$AG, INT((ROW(G97)-8)/4)+8),
      ""
   )
)</f>
        <v/>
      </c>
    </row>
    <row r="98" spans="1:7" x14ac:dyDescent="0.25">
      <c r="A98" s="56"/>
      <c r="B98" t="str" cm="1">
        <f t="array" ref="B98">IF(INDEX($AB:$AB, INT((ROW(B98)-8)/4)+8)="","", IF(MOD(ROW(B98)-8,4)=0, INDEX($AB:$AB, INT((ROW(B98)-8)/4)+8), ""))</f>
        <v/>
      </c>
      <c r="C98" s="22"/>
      <c r="D98" s="22"/>
      <c r="E98" s="22" t="str" cm="1">
        <f t="array" ref="E98">IF(INDEX($AE:$AE, INT((ROW(E98)-8)/4)+8)="","", IF(MOD(ROW(E98)-8,4)=0, INDEX($AE:$AE, INT((ROW(E98)-8)/4)+8), IF(MOD(ROW(E98)-8,4)=3, "Total Hours", "")))</f>
        <v/>
      </c>
      <c r="F98" s="66" t="str" cm="1">
        <f t="array" aca="1" ref="F98" ca="1">IF(INDEX($AF:$AF, INT((ROW(F98)-8)/4)+8)="","",
   IF(MOD(ROW(F98)-8,4)=0,
      INDEX($AF:$AF, INT((ROW(F98)-8)/4)+8),
      IF(MOD(ROW(F98)-8,4)=3,
         SUM(OFFSET(F98,-3,0,3,1)),
      "")
   )
)</f>
        <v/>
      </c>
      <c r="G98" t="str" cm="1">
        <f t="array" ref="G98">IF(INDEX($AG:$AG, INT((ROW(G98)-8)/4)+8)="","",
   IF(MOD(ROW(G98)-8,4)=0,
      INDEX($AG:$AG, INT((ROW(G98)-8)/4)+8),
      ""
   )
)</f>
        <v/>
      </c>
    </row>
    <row r="99" spans="1:7" x14ac:dyDescent="0.25">
      <c r="A99" s="56" t="str" cm="1">
        <f t="array" ref="A99">IF(INDEX($AA:$AA, INT((ROW(A99)-8)/4)+8)="","",IF(MOD(ROW(A99)-8,4)=0, INDEX($AA:$AA, INT((ROW(A99)-8)/4)+8), ""))</f>
        <v/>
      </c>
      <c r="B99" t="str" cm="1">
        <f t="array" ref="B99">IF(INDEX($AB:$AB, INT((ROW(B99)-8)/4)+8)="","", IF(MOD(ROW(B99)-8,4)=0, INDEX($AB:$AB, INT((ROW(B99)-8)/4)+8), ""))</f>
        <v/>
      </c>
      <c r="E99" s="4"/>
      <c r="F99" s="20" t="str" cm="1">
        <f t="array" aca="1" ref="F99" ca="1">IF(INDEX($AF:$AF, INT((ROW(F99)-8)/4)+8)="","",
   IF(MOD(ROW(F99)-8,4)=0,
      INDEX($AF:$AF, INT((ROW(F99)-8)/4)+8),
      IF(MOD(ROW(F99)-8,4)=3,
         SUM(OFFSET(F99,-3,0,3,1)),
      "")
   )
)</f>
        <v/>
      </c>
      <c r="G99" t="str" cm="1">
        <f t="array" ref="G99">IF(INDEX($AG:$AG, INT((ROW(G99)-8)/4)+8)="","",
   IF(MOD(ROW(G99)-8,4)=0,
      INDEX($AG:$AG, INT((ROW(G99)-8)/4)+8),
      ""
   )
)</f>
        <v/>
      </c>
    </row>
    <row r="100" spans="1:7" x14ac:dyDescent="0.25">
      <c r="A100" s="56"/>
      <c r="B100" t="str" cm="1">
        <f t="array" ref="B100">IF(INDEX($AB:$AB, INT((ROW(B100)-8)/4)+8)="","", IF(MOD(ROW(B100)-8,4)=0, INDEX($AB:$AB, INT((ROW(B100)-8)/4)+8), ""))</f>
        <v/>
      </c>
      <c r="E100" t="str" cm="1">
        <f t="array" ref="E100">IF(INDEX($AE:$AE, INT((ROW(E100)-8)/4)+8)="","", IF(MOD(ROW(E100)-8,4)=0, INDEX($AE:$AE, INT((ROW(E100)-8)/4)+8), IF(MOD(ROW(E100)-8,4)=3, "Total Hours", "")))</f>
        <v/>
      </c>
      <c r="F100" s="20" t="str" cm="1">
        <f t="array" aca="1" ref="F100" ca="1">IF(INDEX($AF:$AF, INT((ROW(F100)-8)/4)+8)="","",
   IF(MOD(ROW(F100)-8,4)=0,
      INDEX($AF:$AF, INT((ROW(F100)-8)/4)+8),
      IF(MOD(ROW(F100)-8,4)=3,
         SUM(OFFSET(F100,-3,0,3,1)),
      "")
   )
)</f>
        <v/>
      </c>
      <c r="G100" t="str" cm="1">
        <f t="array" ref="G100">IF(INDEX($AG:$AG, INT((ROW(G100)-8)/4)+8)="","",
   IF(MOD(ROW(G100)-8,4)=0,
      INDEX($AG:$AG, INT((ROW(G100)-8)/4)+8),
      ""
   )
)</f>
        <v/>
      </c>
    </row>
    <row r="101" spans="1:7" x14ac:dyDescent="0.25">
      <c r="A101" s="56" t="str" cm="1">
        <f t="array" ref="A101">IF(INDEX($AA:$AA, INT((ROW(A101)-8)/4)+8)="","",IF(MOD(ROW(A101)-8,4)=0, INDEX($AA:$AA, INT((ROW(A101)-8)/4)+8), ""))</f>
        <v/>
      </c>
      <c r="B101" t="str" cm="1">
        <f t="array" ref="B101">IF(INDEX($AB:$AB, INT((ROW(B101)-8)/4)+8)="","", IF(MOD(ROW(B101)-8,4)=0, INDEX($AB:$AB, INT((ROW(B101)-8)/4)+8), ""))</f>
        <v/>
      </c>
      <c r="C101" s="22"/>
      <c r="D101" s="22"/>
      <c r="E101" s="22" t="str" cm="1">
        <f t="array" ref="E101">IF(INDEX($AE:$AE, INT((ROW(E101)-8)/4)+8)="","", IF(MOD(ROW(E101)-8,4)=0, INDEX($AE:$AE, INT((ROW(E101)-8)/4)+8), IF(MOD(ROW(E101)-8,4)=3, "Total Hours", "")))</f>
        <v/>
      </c>
      <c r="F101" s="66" t="str" cm="1">
        <f t="array" aca="1" ref="F101" ca="1">IF(INDEX($AF:$AF, INT((ROW(F101)-8)/4)+8)="","",
   IF(MOD(ROW(F101)-8,4)=0,
      INDEX($AF:$AF, INT((ROW(F101)-8)/4)+8),
      IF(MOD(ROW(F101)-8,4)=3,
         SUM(OFFSET(F101,-3,0,3,1)),
      "")
   )
)</f>
        <v/>
      </c>
      <c r="G101" t="str" cm="1">
        <f t="array" ref="G101">IF(INDEX($AG:$AG, INT((ROW(G101)-8)/4)+8)="","",
   IF(MOD(ROW(G101)-8,4)=0,
      INDEX($AG:$AG, INT((ROW(G101)-8)/4)+8),
      ""
   )
)</f>
        <v/>
      </c>
    </row>
    <row r="102" spans="1:7" x14ac:dyDescent="0.25">
      <c r="A102" s="56"/>
      <c r="B102" t="str" cm="1">
        <f t="array" ref="B102">IF(INDEX($AB:$AB, INT((ROW(B102)-8)/4)+8)="","", IF(MOD(ROW(B102)-8,4)=0, INDEX($AB:$AB, INT((ROW(B102)-8)/4)+8), ""))</f>
        <v/>
      </c>
      <c r="C102" s="22"/>
      <c r="D102" s="22"/>
      <c r="E102" s="57"/>
      <c r="F102" s="66" t="str" cm="1">
        <f t="array" aca="1" ref="F102" ca="1">IF(INDEX($AF:$AF, INT((ROW(F102)-8)/4)+8)="","",
   IF(MOD(ROW(F102)-8,4)=0,
      INDEX($AF:$AF, INT((ROW(F102)-8)/4)+8),
      IF(MOD(ROW(F102)-8,4)=3,
         SUM(OFFSET(F102,-3,0,3,1)),
      "")
   )
)</f>
        <v/>
      </c>
      <c r="G102" t="str" cm="1">
        <f t="array" ref="G102">IF(INDEX($AG:$AG, INT((ROW(G102)-8)/4)+8)="","",
   IF(MOD(ROW(G102)-8,4)=0,
      INDEX($AG:$AG, INT((ROW(G102)-8)/4)+8),
      ""
   )
)</f>
        <v/>
      </c>
    </row>
    <row r="103" spans="1:7" x14ac:dyDescent="0.25">
      <c r="A103" s="56"/>
      <c r="B103" t="str" cm="1">
        <f t="array" ref="B103">IF(INDEX($AB:$AB, INT((ROW(B103)-8)/4)+8)="","", IF(MOD(ROW(B103)-8,4)=0, INDEX($AB:$AB, INT((ROW(B103)-8)/4)+8), ""))</f>
        <v/>
      </c>
      <c r="E103" s="4"/>
      <c r="F103" s="20" t="str" cm="1">
        <f t="array" aca="1" ref="F103" ca="1">IF(INDEX($AF:$AF, INT((ROW(F103)-8)/4)+8)="","",
   IF(MOD(ROW(F103)-8,4)=0,
      INDEX($AF:$AF, INT((ROW(F103)-8)/4)+8),
      IF(MOD(ROW(F103)-8,4)=3,
         SUM(OFFSET(F103,-3,0,3,1)),
      "")
   )
)</f>
        <v/>
      </c>
      <c r="G103" t="str" cm="1">
        <f t="array" ref="G103">IF(INDEX($AG:$AG, INT((ROW(G103)-8)/4)+8)="","",
   IF(MOD(ROW(G103)-8,4)=0,
      INDEX($AG:$AG, INT((ROW(G103)-8)/4)+8),
      ""
   )
)</f>
        <v/>
      </c>
    </row>
    <row r="104" spans="1:7" x14ac:dyDescent="0.25">
      <c r="A104" s="56"/>
      <c r="B104" t="str" cm="1">
        <f t="array" ref="B104">IF(INDEX($AB:$AB, INT((ROW(B104)-8)/4)+8)="","", IF(MOD(ROW(B104)-8,4)=0, INDEX($AB:$AB, INT((ROW(B104)-8)/4)+8), ""))</f>
        <v/>
      </c>
      <c r="E104" t="str" cm="1">
        <f t="array" ref="E104">IF(INDEX($AE:$AE, INT((ROW(E104)-8)/4)+8)="","", IF(MOD(ROW(E104)-8,4)=0, INDEX($AE:$AE, INT((ROW(E104)-8)/4)+8), IF(MOD(ROW(E104)-8,4)=3, "Total Hours", "")))</f>
        <v/>
      </c>
      <c r="F104" s="20" t="str" cm="1">
        <f t="array" aca="1" ref="F104" ca="1">IF(INDEX($AF:$AF, INT((ROW(F104)-8)/4)+8)="","",
   IF(MOD(ROW(F104)-8,4)=0,
      INDEX($AF:$AF, INT((ROW(F104)-8)/4)+8),
      IF(MOD(ROW(F104)-8,4)=3,
         SUM(OFFSET(F104,-3,0,3,1)),
      "")
   )
)</f>
        <v/>
      </c>
      <c r="G104" t="str" cm="1">
        <f t="array" ref="G104">IF(INDEX($AG:$AG, INT((ROW(G104)-8)/4)+8)="","",
   IF(MOD(ROW(G104)-8,4)=0,
      INDEX($AG:$AG, INT((ROW(G104)-8)/4)+8),
      ""
   )
)</f>
        <v/>
      </c>
    </row>
    <row r="105" spans="1:7" x14ac:dyDescent="0.25">
      <c r="A105" s="56" t="str" cm="1">
        <f t="array" ref="A105">IF(INDEX($AA:$AA, INT((ROW(A105)-8)/4)+8)="","",IF(MOD(ROW(A105)-8,4)=0, INDEX($AA:$AA, INT((ROW(A105)-8)/4)+8), ""))</f>
        <v/>
      </c>
      <c r="B105" t="str" cm="1">
        <f t="array" ref="B105">IF(INDEX($AB:$AB, INT((ROW(B105)-8)/4)+8)="","", IF(MOD(ROW(B105)-8,4)=0, INDEX($AB:$AB, INT((ROW(B105)-8)/4)+8), ""))</f>
        <v/>
      </c>
      <c r="C105" s="22"/>
      <c r="D105" s="22"/>
      <c r="E105" s="22" t="str" cm="1">
        <f t="array" ref="E105">IF(INDEX($AE:$AE, INT((ROW(E105)-8)/4)+8)="","", IF(MOD(ROW(E105)-8,4)=0, INDEX($AE:$AE, INT((ROW(E105)-8)/4)+8), IF(MOD(ROW(E105)-8,4)=3, "Total Hours", "")))</f>
        <v/>
      </c>
      <c r="F105" s="66" t="str" cm="1">
        <f t="array" aca="1" ref="F105" ca="1">IF(INDEX($AF:$AF, INT((ROW(F105)-8)/4)+8)="","",
   IF(MOD(ROW(F105)-8,4)=0,
      INDEX($AF:$AF, INT((ROW(F105)-8)/4)+8),
      IF(MOD(ROW(F105)-8,4)=3,
         SUM(OFFSET(F105,-3,0,3,1)),
      "")
   )
)</f>
        <v/>
      </c>
      <c r="G105" t="str" cm="1">
        <f t="array" ref="G105">IF(INDEX($AG:$AG, INT((ROW(G105)-8)/4)+8)="","",
   IF(MOD(ROW(G105)-8,4)=0,
      INDEX($AG:$AG, INT((ROW(G105)-8)/4)+8),
      ""
   )
)</f>
        <v/>
      </c>
    </row>
    <row r="106" spans="1:7" x14ac:dyDescent="0.25">
      <c r="A106" s="56"/>
      <c r="B106" t="str" cm="1">
        <f t="array" ref="B106">IF(INDEX($AB:$AB, INT((ROW(B106)-8)/4)+8)="","", IF(MOD(ROW(B106)-8,4)=0, INDEX($AB:$AB, INT((ROW(B106)-8)/4)+8), ""))</f>
        <v/>
      </c>
      <c r="C106" s="22"/>
      <c r="D106" s="22"/>
      <c r="E106" s="57"/>
      <c r="F106" s="66" t="str" cm="1">
        <f t="array" aca="1" ref="F106" ca="1">IF(INDEX($AF:$AF, INT((ROW(F106)-8)/4)+8)="","",
   IF(MOD(ROW(F106)-8,4)=0,
      INDEX($AF:$AF, INT((ROW(F106)-8)/4)+8),
      IF(MOD(ROW(F106)-8,4)=3,
         SUM(OFFSET(F106,-3,0,3,1)),
      "")
   )
)</f>
        <v/>
      </c>
      <c r="G106" t="str" cm="1">
        <f t="array" ref="G106">IF(INDEX($AG:$AG, INT((ROW(G106)-8)/4)+8)="","",
   IF(MOD(ROW(G106)-8,4)=0,
      INDEX($AG:$AG, INT((ROW(G106)-8)/4)+8),
      ""
   )
)</f>
        <v/>
      </c>
    </row>
    <row r="107" spans="1:7" x14ac:dyDescent="0.25">
      <c r="A107" s="56"/>
      <c r="B107" t="str" cm="1">
        <f t="array" ref="B107">IF(INDEX($AB:$AB, INT((ROW(B107)-8)/4)+8)="","", IF(MOD(ROW(B107)-8,4)=0, INDEX($AB:$AB, INT((ROW(B107)-8)/4)+8), ""))</f>
        <v/>
      </c>
      <c r="E107" s="4"/>
      <c r="F107" s="20" t="str" cm="1">
        <f t="array" aca="1" ref="F107" ca="1">IF(INDEX($AF:$AF, INT((ROW(F107)-8)/4)+8)="","",
   IF(MOD(ROW(F107)-8,4)=0,
      INDEX($AF:$AF, INT((ROW(F107)-8)/4)+8),
      IF(MOD(ROW(F107)-8,4)=3,
         SUM(OFFSET(F107,-3,0,3,1)),
      "")
   )
)</f>
        <v/>
      </c>
      <c r="G107" t="str" cm="1">
        <f t="array" ref="G107">IF(INDEX($AG:$AG, INT((ROW(G107)-8)/4)+8)="","",
   IF(MOD(ROW(G107)-8,4)=0,
      INDEX($AG:$AG, INT((ROW(G107)-8)/4)+8),
      ""
   )
)</f>
        <v/>
      </c>
    </row>
    <row r="108" spans="1:7" x14ac:dyDescent="0.25">
      <c r="A108" s="56"/>
      <c r="B108" t="str" cm="1">
        <f t="array" ref="B108">IF(INDEX($AB:$AB, INT((ROW(B108)-8)/4)+8)="","", IF(MOD(ROW(B108)-8,4)=0, INDEX($AB:$AB, INT((ROW(B108)-8)/4)+8), ""))</f>
        <v/>
      </c>
      <c r="E108" t="str" cm="1">
        <f t="array" ref="E108">IF(INDEX($AE:$AE, INT((ROW(E108)-8)/4)+8)="","", IF(MOD(ROW(E108)-8,4)=0, INDEX($AE:$AE, INT((ROW(E108)-8)/4)+8), IF(MOD(ROW(E108)-8,4)=3, "Total Hours", "")))</f>
        <v/>
      </c>
      <c r="F108" s="20" t="str" cm="1">
        <f t="array" aca="1" ref="F108" ca="1">IF(INDEX($AF:$AF, INT((ROW(F108)-8)/4)+8)="","",
   IF(MOD(ROW(F108)-8,4)=0,
      INDEX($AF:$AF, INT((ROW(F108)-8)/4)+8),
      IF(MOD(ROW(F108)-8,4)=3,
         SUM(OFFSET(F108,-3,0,3,1)),
      "")
   )
)</f>
        <v/>
      </c>
      <c r="G108" t="str" cm="1">
        <f t="array" ref="G108">IF(INDEX($AG:$AG, INT((ROW(G108)-8)/4)+8)="","",
   IF(MOD(ROW(G108)-8,4)=0,
      INDEX($AG:$AG, INT((ROW(G108)-8)/4)+8),
      ""
   )
)</f>
        <v/>
      </c>
    </row>
    <row r="109" spans="1:7" x14ac:dyDescent="0.25">
      <c r="A109" s="56" t="str" cm="1">
        <f t="array" ref="A109">IF(INDEX($AA:$AA, INT((ROW(A109)-8)/4)+8)="","",IF(MOD(ROW(A109)-8,4)=0, INDEX($AA:$AA, INT((ROW(A109)-8)/4)+8), ""))</f>
        <v/>
      </c>
      <c r="B109" t="str" cm="1">
        <f t="array" ref="B109">IF(INDEX($AB:$AB, INT((ROW(B109)-8)/4)+8)="","", IF(MOD(ROW(B109)-8,4)=0, INDEX($AB:$AB, INT((ROW(B109)-8)/4)+8), ""))</f>
        <v/>
      </c>
      <c r="C109" s="22"/>
      <c r="D109" s="22"/>
      <c r="E109" s="22" t="str" cm="1">
        <f t="array" ref="E109">IF(INDEX($AE:$AE, INT((ROW(E109)-8)/4)+8)="","", IF(MOD(ROW(E109)-8,4)=0, INDEX($AE:$AE, INT((ROW(E109)-8)/4)+8), IF(MOD(ROW(E109)-8,4)=3, "Total Hours", "")))</f>
        <v/>
      </c>
      <c r="F109" s="66" t="str" cm="1">
        <f t="array" aca="1" ref="F109" ca="1">IF(INDEX($AF:$AF, INT((ROW(F109)-8)/4)+8)="","",
   IF(MOD(ROW(F109)-8,4)=0,
      INDEX($AF:$AF, INT((ROW(F109)-8)/4)+8),
      IF(MOD(ROW(F109)-8,4)=3,
         SUM(OFFSET(F109,-3,0,3,1)),
      "")
   )
)</f>
        <v/>
      </c>
      <c r="G109" t="str" cm="1">
        <f t="array" ref="G109">IF(INDEX($AG:$AG, INT((ROW(G109)-8)/4)+8)="","",
   IF(MOD(ROW(G109)-8,4)=0,
      INDEX($AG:$AG, INT((ROW(G109)-8)/4)+8),
      ""
   )
)</f>
        <v/>
      </c>
    </row>
    <row r="110" spans="1:7" x14ac:dyDescent="0.25">
      <c r="A110" s="56"/>
      <c r="B110" t="str" cm="1">
        <f t="array" ref="B110">IF(INDEX($AB:$AB, INT((ROW(B110)-8)/4)+8)="","", IF(MOD(ROW(B110)-8,4)=0, INDEX($AB:$AB, INT((ROW(B110)-8)/4)+8), ""))</f>
        <v/>
      </c>
      <c r="C110" s="22"/>
      <c r="D110" s="22"/>
      <c r="E110" s="22" t="str" cm="1">
        <f t="array" ref="E110">IF(INDEX($AE:$AE, INT((ROW(E110)-8)/4)+8)="","", IF(MOD(ROW(E110)-8,4)=0, INDEX($AE:$AE, INT((ROW(E110)-8)/4)+8), IF(MOD(ROW(E110)-8,4)=3, "Total Hours", "")))</f>
        <v/>
      </c>
      <c r="F110" s="66" t="str" cm="1">
        <f t="array" aca="1" ref="F110" ca="1">IF(INDEX($AF:$AF, INT((ROW(F110)-8)/4)+8)="","",
   IF(MOD(ROW(F110)-8,4)=0,
      INDEX($AF:$AF, INT((ROW(F110)-8)/4)+8),
      IF(MOD(ROW(F110)-8,4)=3,
         SUM(OFFSET(F110,-3,0,3,1)),
      "")
   )
)</f>
        <v/>
      </c>
      <c r="G110" t="str" cm="1">
        <f t="array" ref="G110">IF(INDEX($AG:$AG, INT((ROW(G110)-8)/4)+8)="","",
   IF(MOD(ROW(G110)-8,4)=0,
      INDEX($AG:$AG, INT((ROW(G110)-8)/4)+8),
      ""
   )
)</f>
        <v/>
      </c>
    </row>
    <row r="111" spans="1:7" x14ac:dyDescent="0.25">
      <c r="A111" s="56" t="str" cm="1">
        <f t="array" ref="A111">IF(INDEX($AA:$AA, INT((ROW(A111)-8)/4)+8)="","",IF(MOD(ROW(A111)-8,4)=0, INDEX($AA:$AA, INT((ROW(A111)-8)/4)+8), ""))</f>
        <v/>
      </c>
      <c r="B111" t="str" cm="1">
        <f t="array" ref="B111">IF(INDEX($AB:$AB, INT((ROW(B111)-8)/4)+8)="","", IF(MOD(ROW(B111)-8,4)=0, INDEX($AB:$AB, INT((ROW(B111)-8)/4)+8), ""))</f>
        <v/>
      </c>
      <c r="E111" s="4"/>
      <c r="F111" s="20" t="str" cm="1">
        <f t="array" aca="1" ref="F111" ca="1">IF(INDEX($AF:$AF, INT((ROW(F111)-8)/4)+8)="","",
   IF(MOD(ROW(F111)-8,4)=0,
      INDEX($AF:$AF, INT((ROW(F111)-8)/4)+8),
      IF(MOD(ROW(F111)-8,4)=3,
         SUM(OFFSET(F111,-3,0,3,1)),
      "")
   )
)</f>
        <v/>
      </c>
      <c r="G111" t="str" cm="1">
        <f t="array" ref="G111">IF(INDEX($AG:$AG, INT((ROW(G111)-8)/4)+8)="","",
   IF(MOD(ROW(G111)-8,4)=0,
      INDEX($AG:$AG, INT((ROW(G111)-8)/4)+8),
      ""
   )
)</f>
        <v/>
      </c>
    </row>
    <row r="112" spans="1:7" x14ac:dyDescent="0.25">
      <c r="A112" s="56"/>
      <c r="B112" t="str" cm="1">
        <f t="array" ref="B112">IF(INDEX($AB:$AB, INT((ROW(B112)-8)/4)+8)="","", IF(MOD(ROW(B112)-8,4)=0, INDEX($AB:$AB, INT((ROW(B112)-8)/4)+8), ""))</f>
        <v/>
      </c>
      <c r="E112" t="str" cm="1">
        <f t="array" ref="E112">IF(INDEX($AE:$AE, INT((ROW(E112)-8)/4)+8)="","", IF(MOD(ROW(E112)-8,4)=0, INDEX($AE:$AE, INT((ROW(E112)-8)/4)+8), IF(MOD(ROW(E112)-8,4)=3, "Total Hours", "")))</f>
        <v/>
      </c>
      <c r="F112" s="20" t="str" cm="1">
        <f t="array" aca="1" ref="F112" ca="1">IF(INDEX($AF:$AF, INT((ROW(F112)-8)/4)+8)="","",
   IF(MOD(ROW(F112)-8,4)=0,
      INDEX($AF:$AF, INT((ROW(F112)-8)/4)+8),
      IF(MOD(ROW(F112)-8,4)=3,
         SUM(OFFSET(F112,-3,0,3,1)),
      "")
   )
)</f>
        <v/>
      </c>
      <c r="G112" t="str" cm="1">
        <f t="array" ref="G112">IF(INDEX($AG:$AG, INT((ROW(G112)-8)/4)+8)="","",
   IF(MOD(ROW(G112)-8,4)=0,
      INDEX($AG:$AG, INT((ROW(G112)-8)/4)+8),
      ""
   )
)</f>
        <v/>
      </c>
    </row>
    <row r="113" spans="1:7" x14ac:dyDescent="0.25">
      <c r="A113" s="56" t="str" cm="1">
        <f t="array" ref="A113">IF(INDEX($AA:$AA, INT((ROW(A113)-8)/4)+8)="","",IF(MOD(ROW(A113)-8,4)=0, INDEX($AA:$AA, INT((ROW(A113)-8)/4)+8), ""))</f>
        <v/>
      </c>
      <c r="B113" t="str" cm="1">
        <f t="array" ref="B113">IF(INDEX($AB:$AB, INT((ROW(B113)-8)/4)+8)="","", IF(MOD(ROW(B113)-8,4)=0, INDEX($AB:$AB, INT((ROW(B113)-8)/4)+8), ""))</f>
        <v/>
      </c>
      <c r="C113" s="22"/>
      <c r="D113" s="22"/>
      <c r="E113" s="22" t="str" cm="1">
        <f t="array" ref="E113">IF(INDEX($AE:$AE, INT((ROW(E113)-8)/4)+8)="","", IF(MOD(ROW(E113)-8,4)=0, INDEX($AE:$AE, INT((ROW(E113)-8)/4)+8), IF(MOD(ROW(E113)-8,4)=3, "Total Hours", "")))</f>
        <v/>
      </c>
      <c r="F113" s="66" t="str" cm="1">
        <f t="array" aca="1" ref="F113" ca="1">IF(INDEX($AF:$AF, INT((ROW(F113)-8)/4)+8)="","",
   IF(MOD(ROW(F113)-8,4)=0,
      INDEX($AF:$AF, INT((ROW(F113)-8)/4)+8),
      IF(MOD(ROW(F113)-8,4)=3,
         SUM(OFFSET(F113,-3,0,3,1)),
      "")
   )
)</f>
        <v/>
      </c>
      <c r="G113" t="str" cm="1">
        <f t="array" ref="G113">IF(INDEX($AG:$AG, INT((ROW(G113)-8)/4)+8)="","",
   IF(MOD(ROW(G113)-8,4)=0,
      INDEX($AG:$AG, INT((ROW(G113)-8)/4)+8),
      ""
   )
)</f>
        <v/>
      </c>
    </row>
    <row r="114" spans="1:7" x14ac:dyDescent="0.25">
      <c r="A114" s="56" t="str" cm="1">
        <f t="array" ref="A114">IF(INDEX($AA:$AA, INT((ROW(A114)-8)/4)+8)="","",IF(MOD(ROW(A114)-8,4)=0, INDEX($AA:$AA, INT((ROW(A114)-8)/4)+8), ""))</f>
        <v/>
      </c>
      <c r="B114" t="str" cm="1">
        <f t="array" ref="B114">IF(INDEX($AB:$AB, INT((ROW(B114)-8)/4)+8)="","", IF(MOD(ROW(B114)-8,4)=0, INDEX($AB:$AB, INT((ROW(B114)-8)/4)+8), ""))</f>
        <v/>
      </c>
      <c r="C114" s="22"/>
      <c r="D114" s="22"/>
      <c r="E114" s="22" t="str" cm="1">
        <f t="array" ref="E114">IF(INDEX($AE:$AE, INT((ROW(E114)-8)/4)+8)="","", IF(MOD(ROW(E114)-8,4)=0, INDEX($AE:$AE, INT((ROW(E114)-8)/4)+8), IF(MOD(ROW(E114)-8,4)=3, "Total Hours", "")))</f>
        <v/>
      </c>
      <c r="F114" s="66" t="str" cm="1">
        <f t="array" aca="1" ref="F114" ca="1">IF(INDEX($AF:$AF, INT((ROW(F114)-8)/4)+8)="","",
   IF(MOD(ROW(F114)-8,4)=0,
      INDEX($AF:$AF, INT((ROW(F114)-8)/4)+8),
      IF(MOD(ROW(F114)-8,4)=3,
         SUM(OFFSET(F114,-3,0,3,1)),
      "")
   )
)</f>
        <v/>
      </c>
      <c r="G114" t="str" cm="1">
        <f t="array" ref="G114">IF(INDEX($AG:$AG, INT((ROW(G114)-8)/4)+8)="","",
   IF(MOD(ROW(G114)-8,4)=0,
      INDEX($AG:$AG, INT((ROW(G114)-8)/4)+8),
      ""
   )
)</f>
        <v/>
      </c>
    </row>
    <row r="115" spans="1:7" x14ac:dyDescent="0.25">
      <c r="A115" s="56" t="str" cm="1">
        <f t="array" ref="A115">IF(INDEX($AA:$AA, INT((ROW(A115)-8)/4)+8)="","",IF(MOD(ROW(A115)-8,4)=0, INDEX($AA:$AA, INT((ROW(A115)-8)/4)+8), ""))</f>
        <v/>
      </c>
      <c r="B115" t="str" cm="1">
        <f t="array" ref="B115">IF(INDEX($AB:$AB, INT((ROW(B115)-8)/4)+8)="","", IF(MOD(ROW(B115)-8,4)=0, INDEX($AB:$AB, INT((ROW(B115)-8)/4)+8), ""))</f>
        <v/>
      </c>
      <c r="E115" s="4"/>
      <c r="F115" s="20" t="str" cm="1">
        <f t="array" aca="1" ref="F115" ca="1">IF(INDEX($AF:$AF, INT((ROW(F115)-8)/4)+8)="","",
   IF(MOD(ROW(F115)-8,4)=0,
      INDEX($AF:$AF, INT((ROW(F115)-8)/4)+8),
      IF(MOD(ROW(F115)-8,4)=3,
         SUM(OFFSET(F115,-3,0,3,1)),
      "")
   )
)</f>
        <v/>
      </c>
      <c r="G115" t="str" cm="1">
        <f t="array" ref="G115">IF(INDEX($AG:$AG, INT((ROW(G115)-8)/4)+8)="","",
   IF(MOD(ROW(G115)-8,4)=0,
      INDEX($AG:$AG, INT((ROW(G115)-8)/4)+8),
      ""
   )
)</f>
        <v/>
      </c>
    </row>
    <row r="116" spans="1:7" x14ac:dyDescent="0.25">
      <c r="A116" s="56"/>
      <c r="B116" t="str" cm="1">
        <f t="array" ref="B116">IF(INDEX($AB:$AB, INT((ROW(B116)-8)/4)+8)="","", IF(MOD(ROW(B116)-8,4)=0, INDEX($AB:$AB, INT((ROW(B116)-8)/4)+8), ""))</f>
        <v/>
      </c>
      <c r="E116" t="str" cm="1">
        <f t="array" ref="E116">IF(INDEX($AE:$AE, INT((ROW(E116)-8)/4)+8)="","", IF(MOD(ROW(E116)-8,4)=0, INDEX($AE:$AE, INT((ROW(E116)-8)/4)+8), IF(MOD(ROW(E116)-8,4)=3, "Total Hours", "")))</f>
        <v/>
      </c>
      <c r="F116" s="20" t="str" cm="1">
        <f t="array" aca="1" ref="F116" ca="1">IF(INDEX($AF:$AF, INT((ROW(F116)-8)/4)+8)="","",
   IF(MOD(ROW(F116)-8,4)=0,
      INDEX($AF:$AF, INT((ROW(F116)-8)/4)+8),
      IF(MOD(ROW(F116)-8,4)=3,
         SUM(OFFSET(F116,-3,0,3,1)),
      "")
   )
)</f>
        <v/>
      </c>
      <c r="G116" t="str" cm="1">
        <f t="array" ref="G116">IF(INDEX($AG:$AG, INT((ROW(G116)-8)/4)+8)="","",
   IF(MOD(ROW(G116)-8,4)=0,
      INDEX($AG:$AG, INT((ROW(G116)-8)/4)+8),
      ""
   )
)</f>
        <v/>
      </c>
    </row>
    <row r="117" spans="1:7" x14ac:dyDescent="0.25">
      <c r="A117" s="56" t="str" cm="1">
        <f t="array" ref="A117">IF(INDEX($AA:$AA, INT((ROW(A117)-8)/4)+8)="","",IF(MOD(ROW(A117)-8,4)=0, INDEX($AA:$AA, INT((ROW(A117)-8)/4)+8), ""))</f>
        <v/>
      </c>
      <c r="B117" t="str" cm="1">
        <f t="array" ref="B117">IF(INDEX($AB:$AB, INT((ROW(B117)-8)/4)+8)="","", IF(MOD(ROW(B117)-8,4)=0, INDEX($AB:$AB, INT((ROW(B117)-8)/4)+8), ""))</f>
        <v/>
      </c>
      <c r="C117" s="22"/>
      <c r="D117" s="22"/>
      <c r="E117" s="22" t="str" cm="1">
        <f t="array" ref="E117">IF(INDEX($AE:$AE, INT((ROW(E117)-8)/4)+8)="","", IF(MOD(ROW(E117)-8,4)=0, INDEX($AE:$AE, INT((ROW(E117)-8)/4)+8), IF(MOD(ROW(E117)-8,4)=3, "Total Hours", "")))</f>
        <v/>
      </c>
      <c r="F117" s="66" t="str" cm="1">
        <f t="array" aca="1" ref="F117" ca="1">IF(INDEX($AF:$AF, INT((ROW(F117)-8)/4)+8)="","",
   IF(MOD(ROW(F117)-8,4)=0,
      INDEX($AF:$AF, INT((ROW(F117)-8)/4)+8),
      IF(MOD(ROW(F117)-8,4)=3,
         SUM(OFFSET(F117,-3,0,3,1)),
      "")
   )
)</f>
        <v/>
      </c>
      <c r="G117" t="str" cm="1">
        <f t="array" ref="G117">IF(INDEX($AG:$AG, INT((ROW(G117)-8)/4)+8)="","",
   IF(MOD(ROW(G117)-8,4)=0,
      INDEX($AG:$AG, INT((ROW(G117)-8)/4)+8),
      ""
   )
)</f>
        <v/>
      </c>
    </row>
    <row r="118" spans="1:7" x14ac:dyDescent="0.25">
      <c r="A118" s="56" t="str" cm="1">
        <f t="array" ref="A118">IF(INDEX($AA:$AA, INT((ROW(A118)-8)/4)+8)="","",IF(MOD(ROW(A118)-8,4)=0, INDEX($AA:$AA, INT((ROW(A118)-8)/4)+8), ""))</f>
        <v/>
      </c>
      <c r="B118" t="str" cm="1">
        <f t="array" ref="B118">IF(INDEX($AB:$AB, INT((ROW(B118)-8)/4)+8)="","", IF(MOD(ROW(B118)-8,4)=0, INDEX($AB:$AB, INT((ROW(B118)-8)/4)+8), ""))</f>
        <v/>
      </c>
      <c r="C118" s="22"/>
      <c r="D118" s="22"/>
      <c r="E118" s="22" t="str" cm="1">
        <f t="array" ref="E118">IF(INDEX($AE:$AE, INT((ROW(E118)-8)/4)+8)="","", IF(MOD(ROW(E118)-8,4)=0, INDEX($AE:$AE, INT((ROW(E118)-8)/4)+8), IF(MOD(ROW(E118)-8,4)=3, "Total Hours", "")))</f>
        <v/>
      </c>
      <c r="F118" s="66" t="str" cm="1">
        <f t="array" aca="1" ref="F118" ca="1">IF(INDEX($AF:$AF, INT((ROW(F118)-8)/4)+8)="","",
   IF(MOD(ROW(F118)-8,4)=0,
      INDEX($AF:$AF, INT((ROW(F118)-8)/4)+8),
      IF(MOD(ROW(F118)-8,4)=3,
         SUM(OFFSET(F118,-3,0,3,1)),
      "")
   )
)</f>
        <v/>
      </c>
      <c r="G118" t="str" cm="1">
        <f t="array" ref="G118">IF(INDEX($AG:$AG, INT((ROW(G118)-8)/4)+8)="","",
   IF(MOD(ROW(G118)-8,4)=0,
      INDEX($AG:$AG, INT((ROW(G118)-8)/4)+8),
      ""
   )
)</f>
        <v/>
      </c>
    </row>
    <row r="119" spans="1:7" x14ac:dyDescent="0.25">
      <c r="A119" s="56" t="str" cm="1">
        <f t="array" ref="A119">IF(INDEX($AA:$AA, INT((ROW(A119)-8)/4)+8)="","",IF(MOD(ROW(A119)-8,4)=0, INDEX($AA:$AA, INT((ROW(A119)-8)/4)+8), ""))</f>
        <v/>
      </c>
      <c r="B119" t="str" cm="1">
        <f t="array" ref="B119">IF(INDEX($AB:$AB, INT((ROW(B119)-8)/4)+8)="","", IF(MOD(ROW(B119)-8,4)=0, INDEX($AB:$AB, INT((ROW(B119)-8)/4)+8), ""))</f>
        <v/>
      </c>
      <c r="E119" s="4"/>
      <c r="F119" s="20" t="str" cm="1">
        <f t="array" aca="1" ref="F119" ca="1">IF(INDEX($AF:$AF, INT((ROW(F119)-8)/4)+8)="","",
   IF(MOD(ROW(F119)-8,4)=0,
      INDEX($AF:$AF, INT((ROW(F119)-8)/4)+8),
      IF(MOD(ROW(F119)-8,4)=3,
         SUM(OFFSET(F119,-3,0,3,1)),
      "")
   )
)</f>
        <v/>
      </c>
      <c r="G119" t="str" cm="1">
        <f t="array" ref="G119">IF(INDEX($AG:$AG, INT((ROW(G119)-8)/4)+8)="","",
   IF(MOD(ROW(G119)-8,4)=0,
      INDEX($AG:$AG, INT((ROW(G119)-8)/4)+8),
      ""
   )
)</f>
        <v/>
      </c>
    </row>
    <row r="120" spans="1:7" x14ac:dyDescent="0.25">
      <c r="A120" s="56"/>
      <c r="B120" t="str" cm="1">
        <f t="array" ref="B120">IF(INDEX($AB:$AB, INT((ROW(B120)-8)/4)+8)="","", IF(MOD(ROW(B120)-8,4)=0, INDEX($AB:$AB, INT((ROW(B120)-8)/4)+8), ""))</f>
        <v/>
      </c>
      <c r="E120" t="str" cm="1">
        <f t="array" ref="E120">IF(INDEX($AE:$AE, INT((ROW(E120)-8)/4)+8)="","", IF(MOD(ROW(E120)-8,4)=0, INDEX($AE:$AE, INT((ROW(E120)-8)/4)+8), IF(MOD(ROW(E120)-8,4)=3, "Total Hours", "")))</f>
        <v/>
      </c>
      <c r="F120" s="20" t="str" cm="1">
        <f t="array" aca="1" ref="F120" ca="1">IF(INDEX($AF:$AF, INT((ROW(F120)-8)/4)+8)="","",
   IF(MOD(ROW(F120)-8,4)=0,
      INDEX($AF:$AF, INT((ROW(F120)-8)/4)+8),
      IF(MOD(ROW(F120)-8,4)=3,
         SUM(OFFSET(F120,-3,0,3,1)),
      "")
   )
)</f>
        <v/>
      </c>
      <c r="G120" t="str" cm="1">
        <f t="array" ref="G120">IF(INDEX($AG:$AG, INT((ROW(G120)-8)/4)+8)="","",
   IF(MOD(ROW(G120)-8,4)=0,
      INDEX($AG:$AG, INT((ROW(G120)-8)/4)+8),
      ""
   )
)</f>
        <v/>
      </c>
    </row>
    <row r="121" spans="1:7" x14ac:dyDescent="0.25">
      <c r="A121" s="56" t="str" cm="1">
        <f t="array" ref="A121">IF(INDEX($AA:$AA, INT((ROW(A121)-8)/4)+8)="","",IF(MOD(ROW(A121)-8,4)=0, INDEX($AA:$AA, INT((ROW(A121)-8)/4)+8), ""))</f>
        <v/>
      </c>
      <c r="B121" t="str" cm="1">
        <f t="array" ref="B121">IF(INDEX($AB:$AB, INT((ROW(B121)-8)/4)+8)="","", IF(MOD(ROW(B121)-8,4)=0, INDEX($AB:$AB, INT((ROW(B121)-8)/4)+8), ""))</f>
        <v/>
      </c>
      <c r="C121" s="22"/>
      <c r="D121" s="22"/>
      <c r="E121" s="22" t="str" cm="1">
        <f t="array" ref="E121">IF(INDEX($AE:$AE, INT((ROW(E121)-8)/4)+8)="","", IF(MOD(ROW(E121)-8,4)=0, INDEX($AE:$AE, INT((ROW(E121)-8)/4)+8), IF(MOD(ROW(E121)-8,4)=3, "Total Hours", "")))</f>
        <v/>
      </c>
      <c r="F121" s="66" t="str" cm="1">
        <f t="array" aca="1" ref="F121" ca="1">IF(INDEX($AF:$AF, INT((ROW(F121)-8)/4)+8)="","",
   IF(MOD(ROW(F121)-8,4)=0,
      INDEX($AF:$AF, INT((ROW(F121)-8)/4)+8),
      IF(MOD(ROW(F121)-8,4)=3,
         SUM(OFFSET(F121,-3,0,3,1)),
      "")
   )
)</f>
        <v/>
      </c>
      <c r="G121" t="str" cm="1">
        <f t="array" ref="G121">IF(INDEX($AG:$AG, INT((ROW(G121)-8)/4)+8)="","",
   IF(MOD(ROW(G121)-8,4)=0,
      INDEX($AG:$AG, INT((ROW(G121)-8)/4)+8),
      ""
   )
)</f>
        <v/>
      </c>
    </row>
    <row r="122" spans="1:7" x14ac:dyDescent="0.25">
      <c r="A122" s="56" t="str" cm="1">
        <f t="array" ref="A122">IF(INDEX($AA:$AA, INT((ROW(A122)-8)/4)+8)="","",IF(MOD(ROW(A122)-8,4)=0, INDEX($AA:$AA, INT((ROW(A122)-8)/4)+8), ""))</f>
        <v/>
      </c>
      <c r="B122" t="str" cm="1">
        <f t="array" ref="B122">IF(INDEX($AB:$AB, INT((ROW(B122)-8)/4)+8)="","", IF(MOD(ROW(B122)-8,4)=0, INDEX($AB:$AB, INT((ROW(B122)-8)/4)+8), ""))</f>
        <v/>
      </c>
      <c r="C122" s="22"/>
      <c r="D122" s="22"/>
      <c r="E122" s="22" t="str" cm="1">
        <f t="array" ref="E122">IF(INDEX($AE:$AE, INT((ROW(E122)-8)/4)+8)="","", IF(MOD(ROW(E122)-8,4)=0, INDEX($AE:$AE, INT((ROW(E122)-8)/4)+8), IF(MOD(ROW(E122)-8,4)=3, "Total Hours", "")))</f>
        <v/>
      </c>
      <c r="F122" s="66" t="str" cm="1">
        <f t="array" aca="1" ref="F122" ca="1">IF(INDEX($AF:$AF, INT((ROW(F122)-8)/4)+8)="","",
   IF(MOD(ROW(F122)-8,4)=0,
      INDEX($AF:$AF, INT((ROW(F122)-8)/4)+8),
      IF(MOD(ROW(F122)-8,4)=3,
         SUM(OFFSET(F122,-3,0,3,1)),
      "")
   )
)</f>
        <v/>
      </c>
      <c r="G122" t="str" cm="1">
        <f t="array" ref="G122">IF(INDEX($AG:$AG, INT((ROW(G122)-8)/4)+8)="","",
   IF(MOD(ROW(G122)-8,4)=0,
      INDEX($AG:$AG, INT((ROW(G122)-8)/4)+8),
      ""
   )
)</f>
        <v/>
      </c>
    </row>
    <row r="123" spans="1:7" x14ac:dyDescent="0.25">
      <c r="A123" s="56" t="str" cm="1">
        <f t="array" ref="A123">IF(INDEX($AA:$AA, INT((ROW(A123)-8)/4)+8)="","",IF(MOD(ROW(A123)-8,4)=0, INDEX($AA:$AA, INT((ROW(A123)-8)/4)+8), ""))</f>
        <v/>
      </c>
      <c r="B123" t="str" cm="1">
        <f t="array" ref="B123">IF(INDEX($AB:$AB, INT((ROW(B123)-8)/4)+8)="","", IF(MOD(ROW(B123)-8,4)=0, INDEX($AB:$AB, INT((ROW(B123)-8)/4)+8), ""))</f>
        <v/>
      </c>
      <c r="E123" s="4"/>
      <c r="F123" s="20" t="str" cm="1">
        <f t="array" aca="1" ref="F123" ca="1">IF(INDEX($AF:$AF, INT((ROW(F123)-8)/4)+8)="","",
   IF(MOD(ROW(F123)-8,4)=0,
      INDEX($AF:$AF, INT((ROW(F123)-8)/4)+8),
      IF(MOD(ROW(F123)-8,4)=3,
         SUM(OFFSET(F123,-3,0,3,1)),
      "")
   )
)</f>
        <v/>
      </c>
      <c r="G123" t="str" cm="1">
        <f t="array" ref="G123">IF(INDEX($AG:$AG, INT((ROW(G123)-8)/4)+8)="","",
   IF(MOD(ROW(G123)-8,4)=0,
      INDEX($AG:$AG, INT((ROW(G123)-8)/4)+8),
      ""
   )
)</f>
        <v/>
      </c>
    </row>
    <row r="124" spans="1:7" x14ac:dyDescent="0.25">
      <c r="A124" s="56"/>
      <c r="B124" t="str" cm="1">
        <f t="array" ref="B124">IF(INDEX($AB:$AB, INT((ROW(B124)-8)/4)+8)="","", IF(MOD(ROW(B124)-8,4)=0, INDEX($AB:$AB, INT((ROW(B124)-8)/4)+8), ""))</f>
        <v/>
      </c>
      <c r="E124" t="str" cm="1">
        <f t="array" ref="E124">IF(INDEX($AE:$AE, INT((ROW(E124)-8)/4)+8)="","", IF(MOD(ROW(E124)-8,4)=0, INDEX($AE:$AE, INT((ROW(E124)-8)/4)+8), IF(MOD(ROW(E124)-8,4)=3, "Total Hours", "")))</f>
        <v/>
      </c>
      <c r="F124" s="20" t="str" cm="1">
        <f t="array" aca="1" ref="F124" ca="1">IF(INDEX($AF:$AF, INT((ROW(F124)-8)/4)+8)="","",
   IF(MOD(ROW(F124)-8,4)=0,
      INDEX($AF:$AF, INT((ROW(F124)-8)/4)+8),
      IF(MOD(ROW(F124)-8,4)=3,
         SUM(OFFSET(F124,-3,0,3,1)),
      "")
   )
)</f>
        <v/>
      </c>
      <c r="G124" t="str" cm="1">
        <f t="array" ref="G124">IF(INDEX($AG:$AG, INT((ROW(G124)-8)/4)+8)="","",
   IF(MOD(ROW(G124)-8,4)=0,
      INDEX($AG:$AG, INT((ROW(G124)-8)/4)+8),
      ""
   )
)</f>
        <v/>
      </c>
    </row>
    <row r="125" spans="1:7" x14ac:dyDescent="0.25">
      <c r="A125" s="56" t="str" cm="1">
        <f t="array" ref="A125">IF(INDEX($AA:$AA, INT((ROW(A125)-8)/4)+8)="","",IF(MOD(ROW(A125)-8,4)=0, INDEX($AA:$AA, INT((ROW(A125)-8)/4)+8), ""))</f>
        <v/>
      </c>
      <c r="B125" t="str" cm="1">
        <f t="array" ref="B125">IF(INDEX($AB:$AB, INT((ROW(B125)-8)/4)+8)="","", IF(MOD(ROW(B125)-8,4)=0, INDEX($AB:$AB, INT((ROW(B125)-8)/4)+8), ""))</f>
        <v/>
      </c>
      <c r="C125" s="22"/>
      <c r="D125" s="22"/>
      <c r="E125" s="22" t="str" cm="1">
        <f t="array" ref="E125">IF(INDEX($AE:$AE, INT((ROW(E125)-8)/4)+8)="","", IF(MOD(ROW(E125)-8,4)=0, INDEX($AE:$AE, INT((ROW(E125)-8)/4)+8), IF(MOD(ROW(E125)-8,4)=3, "Total Hours", "")))</f>
        <v/>
      </c>
      <c r="F125" s="66" t="str" cm="1">
        <f t="array" aca="1" ref="F125" ca="1">IF(INDEX($AF:$AF, INT((ROW(F125)-8)/4)+8)="","",
   IF(MOD(ROW(F125)-8,4)=0,
      INDEX($AF:$AF, INT((ROW(F125)-8)/4)+8),
      IF(MOD(ROW(F125)-8,4)=3,
         SUM(OFFSET(F125,-3,0,3,1)),
      "")
   )
)</f>
        <v/>
      </c>
      <c r="G125" t="str" cm="1">
        <f t="array" ref="G125">IF(INDEX($AG:$AG, INT((ROW(G125)-8)/4)+8)="","",
   IF(MOD(ROW(G125)-8,4)=0,
      INDEX($AG:$AG, INT((ROW(G125)-8)/4)+8),
      ""
   )
)</f>
        <v/>
      </c>
    </row>
    <row r="126" spans="1:7" x14ac:dyDescent="0.25">
      <c r="A126" s="56" t="str" cm="1">
        <f t="array" ref="A126">IF(INDEX($AA:$AA, INT((ROW(A126)-8)/4)+8)="","",IF(MOD(ROW(A126)-8,4)=0, INDEX($AA:$AA, INT((ROW(A126)-8)/4)+8), ""))</f>
        <v/>
      </c>
      <c r="B126" t="str" cm="1">
        <f t="array" ref="B126">IF(INDEX($AB:$AB, INT((ROW(B126)-8)/4)+8)="","", IF(MOD(ROW(B126)-8,4)=0, INDEX($AB:$AB, INT((ROW(B126)-8)/4)+8), ""))</f>
        <v/>
      </c>
      <c r="C126" s="22"/>
      <c r="D126" s="22"/>
      <c r="E126" s="22" t="str" cm="1">
        <f t="array" ref="E126">IF(INDEX($AE:$AE, INT((ROW(E126)-8)/4)+8)="","", IF(MOD(ROW(E126)-8,4)=0, INDEX($AE:$AE, INT((ROW(E126)-8)/4)+8), IF(MOD(ROW(E126)-8,4)=3, "Total Hours", "")))</f>
        <v/>
      </c>
      <c r="F126" s="66" t="str" cm="1">
        <f t="array" aca="1" ref="F126" ca="1">IF(INDEX($AF:$AF, INT((ROW(F126)-8)/4)+8)="","",
   IF(MOD(ROW(F126)-8,4)=0,
      INDEX($AF:$AF, INT((ROW(F126)-8)/4)+8),
      IF(MOD(ROW(F126)-8,4)=3,
         SUM(OFFSET(F126,-3,0,3,1)),
      "")
   )
)</f>
        <v/>
      </c>
      <c r="G126" t="str" cm="1">
        <f t="array" ref="G126">IF(INDEX($AG:$AG, INT((ROW(G126)-8)/4)+8)="","",
   IF(MOD(ROW(G126)-8,4)=0,
      INDEX($AG:$AG, INT((ROW(G126)-8)/4)+8),
      ""
   )
)</f>
        <v/>
      </c>
    </row>
    <row r="127" spans="1:7" x14ac:dyDescent="0.25">
      <c r="A127" s="56" t="str" cm="1">
        <f t="array" ref="A127">IF(INDEX($AA:$AA, INT((ROW(A127)-8)/4)+8)="","",IF(MOD(ROW(A127)-8,4)=0, INDEX($AA:$AA, INT((ROW(A127)-8)/4)+8), ""))</f>
        <v/>
      </c>
      <c r="B127" t="str" cm="1">
        <f t="array" ref="B127">IF(INDEX($AB:$AB, INT((ROW(B127)-8)/4)+8)="","", IF(MOD(ROW(B127)-8,4)=0, INDEX($AB:$AB, INT((ROW(B127)-8)/4)+8), ""))</f>
        <v/>
      </c>
      <c r="E127" s="4"/>
      <c r="F127" s="20" t="str" cm="1">
        <f t="array" aca="1" ref="F127" ca="1">IF(INDEX($AF:$AF, INT((ROW(F127)-8)/4)+8)="","",
   IF(MOD(ROW(F127)-8,4)=0,
      INDEX($AF:$AF, INT((ROW(F127)-8)/4)+8),
      IF(MOD(ROW(F127)-8,4)=3,
         SUM(OFFSET(F127,-3,0,3,1)),
      "")
   )
)</f>
        <v/>
      </c>
      <c r="G127" t="str" cm="1">
        <f t="array" ref="G127">IF(INDEX($AG:$AG, INT((ROW(G127)-8)/4)+8)="","",
   IF(MOD(ROW(G127)-8,4)=0,
      INDEX($AG:$AG, INT((ROW(G127)-8)/4)+8),
      ""
   )
)</f>
        <v/>
      </c>
    </row>
    <row r="128" spans="1:7" x14ac:dyDescent="0.25">
      <c r="A128" s="56"/>
      <c r="B128" t="str" cm="1">
        <f t="array" ref="B128">IF(INDEX($AB:$AB, INT((ROW(B128)-8)/4)+8)="","", IF(MOD(ROW(B128)-8,4)=0, INDEX($AB:$AB, INT((ROW(B128)-8)/4)+8), ""))</f>
        <v/>
      </c>
      <c r="E128" t="str" cm="1">
        <f t="array" ref="E128">IF(INDEX($AE:$AE, INT((ROW(E128)-8)/4)+8)="","", IF(MOD(ROW(E128)-8,4)=0, INDEX($AE:$AE, INT((ROW(E128)-8)/4)+8), IF(MOD(ROW(E128)-8,4)=3, "Total Hours", "")))</f>
        <v/>
      </c>
      <c r="F128" s="20" t="str" cm="1">
        <f t="array" aca="1" ref="F128" ca="1">IF(INDEX($AF:$AF, INT((ROW(F128)-8)/4)+8)="","",
   IF(MOD(ROW(F128)-8,4)=0,
      INDEX($AF:$AF, INT((ROW(F128)-8)/4)+8),
      IF(MOD(ROW(F128)-8,4)=3,
         SUM(OFFSET(F128,-3,0,3,1)),
      "")
   )
)</f>
        <v/>
      </c>
      <c r="G128" t="str" cm="1">
        <f t="array" ref="G128">IF(INDEX($AG:$AG, INT((ROW(G128)-8)/4)+8)="","",
   IF(MOD(ROW(G128)-8,4)=0,
      INDEX($AG:$AG, INT((ROW(G128)-8)/4)+8),
      ""
   )
)</f>
        <v/>
      </c>
    </row>
    <row r="129" spans="1:7" x14ac:dyDescent="0.25">
      <c r="A129" s="56" t="str" cm="1">
        <f t="array" ref="A129">IF(INDEX($AA:$AA, INT((ROW(A129)-8)/4)+8)="","",IF(MOD(ROW(A129)-8,4)=0, INDEX($AA:$AA, INT((ROW(A129)-8)/4)+8), ""))</f>
        <v/>
      </c>
      <c r="B129" t="str" cm="1">
        <f t="array" ref="B129">IF(INDEX($AB:$AB, INT((ROW(B129)-8)/4)+8)="","", IF(MOD(ROW(B129)-8,4)=0, INDEX($AB:$AB, INT((ROW(B129)-8)/4)+8), ""))</f>
        <v/>
      </c>
      <c r="C129" s="22"/>
      <c r="D129" s="22"/>
      <c r="E129" s="22" t="str" cm="1">
        <f t="array" ref="E129">IF(INDEX($AE:$AE, INT((ROW(E129)-8)/4)+8)="","", IF(MOD(ROW(E129)-8,4)=0, INDEX($AE:$AE, INT((ROW(E129)-8)/4)+8), IF(MOD(ROW(E129)-8,4)=3, "Total Hours", "")))</f>
        <v/>
      </c>
      <c r="F129" s="66" t="str" cm="1">
        <f t="array" aca="1" ref="F129" ca="1">IF(INDEX($AF:$AF, INT((ROW(F129)-8)/4)+8)="","",
   IF(MOD(ROW(F129)-8,4)=0,
      INDEX($AF:$AF, INT((ROW(F129)-8)/4)+8),
      IF(MOD(ROW(F129)-8,4)=3,
         SUM(OFFSET(F129,-3,0,3,1)),
      "")
   )
)</f>
        <v/>
      </c>
      <c r="G129" t="str" cm="1">
        <f t="array" ref="G129">IF(INDEX($AG:$AG, INT((ROW(G129)-8)/4)+8)="","",
   IF(MOD(ROW(G129)-8,4)=0,
      INDEX($AG:$AG, INT((ROW(G129)-8)/4)+8),
      ""
   )
)</f>
        <v/>
      </c>
    </row>
    <row r="130" spans="1:7" x14ac:dyDescent="0.25">
      <c r="A130" s="56" t="str" cm="1">
        <f t="array" ref="A130">IF(INDEX($AA:$AA, INT((ROW(A130)-8)/4)+8)="","",IF(MOD(ROW(A130)-8,4)=0, INDEX($AA:$AA, INT((ROW(A130)-8)/4)+8), ""))</f>
        <v/>
      </c>
      <c r="B130" t="str" cm="1">
        <f t="array" ref="B130">IF(INDEX($AB:$AB, INT((ROW(B130)-8)/4)+8)="","", IF(MOD(ROW(B130)-8,4)=0, INDEX($AB:$AB, INT((ROW(B130)-8)/4)+8), ""))</f>
        <v/>
      </c>
      <c r="C130" s="22"/>
      <c r="D130" s="22"/>
      <c r="E130" s="22" t="str" cm="1">
        <f t="array" ref="E130">IF(INDEX($AE:$AE, INT((ROW(E130)-8)/4)+8)="","", IF(MOD(ROW(E130)-8,4)=0, INDEX($AE:$AE, INT((ROW(E130)-8)/4)+8), IF(MOD(ROW(E130)-8,4)=3, "Total Hours", "")))</f>
        <v/>
      </c>
      <c r="F130" s="66" t="str" cm="1">
        <f t="array" aca="1" ref="F130" ca="1">IF(INDEX($AF:$AF, INT((ROW(F130)-8)/4)+8)="","",
   IF(MOD(ROW(F130)-8,4)=0,
      INDEX($AF:$AF, INT((ROW(F130)-8)/4)+8),
      IF(MOD(ROW(F130)-8,4)=3,
         SUM(OFFSET(F130,-3,0,3,1)),
      "")
   )
)</f>
        <v/>
      </c>
      <c r="G130" t="str" cm="1">
        <f t="array" ref="G130">IF(INDEX($AG:$AG, INT((ROW(G130)-8)/4)+8)="","",
   IF(MOD(ROW(G130)-8,4)=0,
      INDEX($AG:$AG, INT((ROW(G130)-8)/4)+8),
      ""
   )
)</f>
        <v/>
      </c>
    </row>
    <row r="131" spans="1:7" x14ac:dyDescent="0.25">
      <c r="A131" s="56" t="str" cm="1">
        <f t="array" ref="A131">IF(INDEX($AA:$AA, INT((ROW(A131)-8)/4)+8)="","",IF(MOD(ROW(A131)-8,4)=0, INDEX($AA:$AA, INT((ROW(A131)-8)/4)+8), ""))</f>
        <v/>
      </c>
      <c r="B131" t="str" cm="1">
        <f t="array" ref="B131">IF(INDEX($AB:$AB, INT((ROW(B131)-8)/4)+8)="","", IF(MOD(ROW(B131)-8,4)=0, INDEX($AB:$AB, INT((ROW(B131)-8)/4)+8), ""))</f>
        <v/>
      </c>
      <c r="E131" s="4"/>
      <c r="F131" s="20" t="str" cm="1">
        <f t="array" aca="1" ref="F131" ca="1">IF(INDEX($AF:$AF, INT((ROW(F131)-8)/4)+8)="","",
   IF(MOD(ROW(F131)-8,4)=0,
      INDEX($AF:$AF, INT((ROW(F131)-8)/4)+8),
      IF(MOD(ROW(F131)-8,4)=3,
         SUM(OFFSET(F131,-3,0,3,1)),
      "")
   )
)</f>
        <v/>
      </c>
      <c r="G131" t="str" cm="1">
        <f t="array" ref="G131">IF(INDEX($AG:$AG, INT((ROW(G131)-8)/4)+8)="","",
   IF(MOD(ROW(G131)-8,4)=0,
      INDEX($AG:$AG, INT((ROW(G131)-8)/4)+8),
      ""
   )
)</f>
        <v/>
      </c>
    </row>
    <row r="132" spans="1:7" x14ac:dyDescent="0.25">
      <c r="A132" s="56"/>
      <c r="B132" t="str" cm="1">
        <f t="array" ref="B132">IF(INDEX($AB:$AB, INT((ROW(B132)-8)/4)+8)="","", IF(MOD(ROW(B132)-8,4)=0, INDEX($AB:$AB, INT((ROW(B132)-8)/4)+8), ""))</f>
        <v/>
      </c>
      <c r="E132" t="str" cm="1">
        <f t="array" ref="E132">IF(INDEX($AE:$AE, INT((ROW(E132)-8)/4)+8)="","", IF(MOD(ROW(E132)-8,4)=0, INDEX($AE:$AE, INT((ROW(E132)-8)/4)+8), IF(MOD(ROW(E132)-8,4)=3, "Total Hours", "")))</f>
        <v/>
      </c>
      <c r="F132" s="20" t="str" cm="1">
        <f t="array" aca="1" ref="F132" ca="1">IF(INDEX($AF:$AF, INT((ROW(F132)-8)/4)+8)="","",
   IF(MOD(ROW(F132)-8,4)=0,
      INDEX($AF:$AF, INT((ROW(F132)-8)/4)+8),
      IF(MOD(ROW(F132)-8,4)=3,
         SUM(OFFSET(F132,-3,0,3,1)),
      "")
   )
)</f>
        <v/>
      </c>
      <c r="G132" t="str" cm="1">
        <f t="array" ref="G132">IF(INDEX($AG:$AG, INT((ROW(G132)-8)/4)+8)="","",
   IF(MOD(ROW(G132)-8,4)=0,
      INDEX($AG:$AG, INT((ROW(G132)-8)/4)+8),
      ""
   )
)</f>
        <v/>
      </c>
    </row>
    <row r="133" spans="1:7" x14ac:dyDescent="0.25">
      <c r="A133" s="56" t="str" cm="1">
        <f t="array" ref="A133">IF(INDEX($AA:$AA, INT((ROW(A133)-8)/4)+8)="","",IF(MOD(ROW(A133)-8,4)=0, INDEX($AA:$AA, INT((ROW(A133)-8)/4)+8), ""))</f>
        <v/>
      </c>
      <c r="B133" t="str" cm="1">
        <f t="array" ref="B133">IF(INDEX($AB:$AB, INT((ROW(B133)-8)/4)+8)="","", IF(MOD(ROW(B133)-8,4)=0, INDEX($AB:$AB, INT((ROW(B133)-8)/4)+8), ""))</f>
        <v/>
      </c>
      <c r="E133" t="str" cm="1">
        <f t="array" ref="E133">IF(INDEX($AE:$AE, INT((ROW(E133)-8)/4)+8)="","", IF(MOD(ROW(E133)-8,4)=0, INDEX($AE:$AE, INT((ROW(E133)-8)/4)+8), IF(MOD(ROW(E133)-8,4)=3, "Total Hours", "")))</f>
        <v/>
      </c>
      <c r="F133" s="20" t="str" cm="1">
        <f t="array" aca="1" ref="F133" ca="1">IF(INDEX($AF:$AF, INT((ROW(F133)-8)/4)+8)="","",
   IF(MOD(ROW(F133)-8,4)=0,
      INDEX($AF:$AF, INT((ROW(F133)-8)/4)+8),
      IF(MOD(ROW(F133)-8,4)=3,
         SUM(OFFSET(F133,-3,0,3,1)),
      "")
   )
)</f>
        <v/>
      </c>
      <c r="G133" t="str" cm="1">
        <f t="array" ref="G133">IF(INDEX($AG:$AG, INT((ROW(G133)-8)/4)+8)="","",
   IF(MOD(ROW(G133)-8,4)=0,
      INDEX($AG:$AG, INT((ROW(G133)-8)/4)+8),
      ""
   )
)</f>
        <v/>
      </c>
    </row>
    <row r="134" spans="1:7" x14ac:dyDescent="0.25">
      <c r="A134" s="56" t="str" cm="1">
        <f t="array" ref="A134">IF(INDEX($AA:$AA, INT((ROW(A134)-8)/4)+8)="","",IF(MOD(ROW(A134)-8,4)=0, INDEX($AA:$AA, INT((ROW(A134)-8)/4)+8), ""))</f>
        <v/>
      </c>
      <c r="B134" t="str" cm="1">
        <f t="array" ref="B134">IF(INDEX($AB:$AB, INT((ROW(B134)-8)/4)+8)="","", IF(MOD(ROW(B134)-8,4)=0, INDEX($AB:$AB, INT((ROW(B134)-8)/4)+8), ""))</f>
        <v/>
      </c>
      <c r="E134" t="str" cm="1">
        <f t="array" ref="E134">IF(INDEX($AE:$AE, INT((ROW(E134)-8)/4)+8)="","", IF(MOD(ROW(E134)-8,4)=0, INDEX($AE:$AE, INT((ROW(E134)-8)/4)+8), IF(MOD(ROW(E134)-8,4)=3, "Total Hours", "")))</f>
        <v/>
      </c>
      <c r="F134" s="20" t="str" cm="1">
        <f t="array" aca="1" ref="F134" ca="1">IF(INDEX($AF:$AF, INT((ROW(F134)-8)/4)+8)="","",
   IF(MOD(ROW(F134)-8,4)=0,
      INDEX($AF:$AF, INT((ROW(F134)-8)/4)+8),
      IF(MOD(ROW(F134)-8,4)=3,
         SUM(OFFSET(F134,-3,0,3,1)),
      "")
   )
)</f>
        <v/>
      </c>
      <c r="G134" t="str" cm="1">
        <f t="array" ref="G134">IF(INDEX($AG:$AG, INT((ROW(G134)-8)/4)+8)="","",
   IF(MOD(ROW(G134)-8,4)=0,
      INDEX($AG:$AG, INT((ROW(G134)-8)/4)+8),
      ""
   )
)</f>
        <v/>
      </c>
    </row>
    <row r="135" spans="1:7" x14ac:dyDescent="0.25">
      <c r="A135" s="56" t="str" cm="1">
        <f t="array" ref="A135">IF(INDEX($AA:$AA, INT((ROW(A135)-8)/4)+8)="","",IF(MOD(ROW(A135)-8,4)=0, INDEX($AA:$AA, INT((ROW(A135)-8)/4)+8), ""))</f>
        <v/>
      </c>
      <c r="B135" t="str" cm="1">
        <f t="array" ref="B135">IF(INDEX($AB:$AB, INT((ROW(B135)-8)/4)+8)="","", IF(MOD(ROW(B135)-8,4)=0, INDEX($AB:$AB, INT((ROW(B135)-8)/4)+8), ""))</f>
        <v/>
      </c>
      <c r="E135" s="4"/>
      <c r="F135" s="20" t="str" cm="1">
        <f t="array" aca="1" ref="F135" ca="1">IF(INDEX($AF:$AF, INT((ROW(F135)-8)/4)+8)="","",
   IF(MOD(ROW(F135)-8,4)=0,
      INDEX($AF:$AF, INT((ROW(F135)-8)/4)+8),
      IF(MOD(ROW(F135)-8,4)=3,
         SUM(OFFSET(F135,-3,0,3,1)),
      "")
   )
)</f>
        <v/>
      </c>
      <c r="G135" t="str" cm="1">
        <f t="array" ref="G135">IF(INDEX($AG:$AG, INT((ROW(G135)-8)/4)+8)="","",
   IF(MOD(ROW(G135)-8,4)=0,
      INDEX($AG:$AG, INT((ROW(G135)-8)/4)+8),
      ""
   )
)</f>
        <v/>
      </c>
    </row>
    <row r="136" spans="1:7" x14ac:dyDescent="0.25">
      <c r="A136" s="56"/>
      <c r="B136" t="str" cm="1">
        <f t="array" ref="B136">IF(INDEX($AB:$AB, INT((ROW(B136)-8)/4)+8)="","", IF(MOD(ROW(B136)-8,4)=0, INDEX($AB:$AB, INT((ROW(B136)-8)/4)+8), ""))</f>
        <v/>
      </c>
      <c r="E136" t="str" cm="1">
        <f t="array" ref="E136">IF(INDEX($AE:$AE, INT((ROW(E136)-8)/4)+8)="","", IF(MOD(ROW(E136)-8,4)=0, INDEX($AE:$AE, INT((ROW(E136)-8)/4)+8), IF(MOD(ROW(E136)-8,4)=3, "Total Hours", "")))</f>
        <v/>
      </c>
      <c r="F136" s="20" t="str" cm="1">
        <f t="array" aca="1" ref="F136" ca="1">IF(INDEX($AF:$AF, INT((ROW(F136)-8)/4)+8)="","",
   IF(MOD(ROW(F136)-8,4)=0,
      INDEX($AF:$AF, INT((ROW(F136)-8)/4)+8),
      IF(MOD(ROW(F136)-8,4)=3,
         SUM(OFFSET(F136,-3,0,3,1)),
      "")
   )
)</f>
        <v/>
      </c>
      <c r="G136" t="str" cm="1">
        <f t="array" ref="G136">IF(INDEX($AG:$AG, INT((ROW(G136)-8)/4)+8)="","",
   IF(MOD(ROW(G136)-8,4)=0,
      INDEX($AG:$AG, INT((ROW(G136)-8)/4)+8),
      ""
   )
)</f>
        <v/>
      </c>
    </row>
    <row r="137" spans="1:7" x14ac:dyDescent="0.25">
      <c r="A137" s="56" t="str" cm="1">
        <f t="array" ref="A137">IF(INDEX($AA:$AA, INT((ROW(A137)-8)/4)+8)="","",IF(MOD(ROW(A137)-8,4)=0, INDEX($AA:$AA, INT((ROW(A137)-8)/4)+8), ""))</f>
        <v/>
      </c>
      <c r="B137" t="str" cm="1">
        <f t="array" ref="B137">IF(INDEX($AB:$AB, INT((ROW(B137)-8)/4)+8)="","", IF(MOD(ROW(B137)-8,4)=0, INDEX($AB:$AB, INT((ROW(B137)-8)/4)+8), ""))</f>
        <v/>
      </c>
      <c r="C137" s="22"/>
      <c r="D137" s="22"/>
      <c r="E137" s="22" t="str" cm="1">
        <f t="array" ref="E137">IF(INDEX($AE:$AE, INT((ROW(E137)-8)/4)+8)="","", IF(MOD(ROW(E137)-8,4)=0, INDEX($AE:$AE, INT((ROW(E137)-8)/4)+8), IF(MOD(ROW(E137)-8,4)=3, "Total Hours", "")))</f>
        <v/>
      </c>
      <c r="F137" s="66" t="str" cm="1">
        <f t="array" aca="1" ref="F137" ca="1">IF(INDEX($AF:$AF, INT((ROW(F137)-8)/4)+8)="","",
   IF(MOD(ROW(F137)-8,4)=0,
      INDEX($AF:$AF, INT((ROW(F137)-8)/4)+8),
      IF(MOD(ROW(F137)-8,4)=3,
         SUM(OFFSET(F137,-3,0,3,1)),
      "")
   )
)</f>
        <v/>
      </c>
      <c r="G137" t="str" cm="1">
        <f t="array" ref="G137">IF(INDEX($AG:$AG, INT((ROW(G137)-8)/4)+8)="","",
   IF(MOD(ROW(G137)-8,4)=0,
      INDEX($AG:$AG, INT((ROW(G137)-8)/4)+8),
      ""
   )
)</f>
        <v/>
      </c>
    </row>
    <row r="138" spans="1:7" x14ac:dyDescent="0.25">
      <c r="A138" s="56" t="str" cm="1">
        <f t="array" ref="A138">IF(INDEX($AA:$AA, INT((ROW(A138)-8)/4)+8)="","",IF(MOD(ROW(A138)-8,4)=0, INDEX($AA:$AA, INT((ROW(A138)-8)/4)+8), ""))</f>
        <v/>
      </c>
      <c r="B138" t="str" cm="1">
        <f t="array" ref="B138">IF(INDEX($AB:$AB, INT((ROW(B138)-8)/4)+8)="","", IF(MOD(ROW(B138)-8,4)=0, INDEX($AB:$AB, INT((ROW(B138)-8)/4)+8), ""))</f>
        <v/>
      </c>
      <c r="C138" s="22"/>
      <c r="D138" s="22"/>
      <c r="E138" s="22" t="str" cm="1">
        <f t="array" ref="E138">IF(INDEX($AE:$AE, INT((ROW(E138)-8)/4)+8)="","", IF(MOD(ROW(E138)-8,4)=0, INDEX($AE:$AE, INT((ROW(E138)-8)/4)+8), IF(MOD(ROW(E138)-8,4)=3, "Total Hours", "")))</f>
        <v/>
      </c>
      <c r="F138" s="66" t="str" cm="1">
        <f t="array" aca="1" ref="F138" ca="1">IF(INDEX($AF:$AF, INT((ROW(F138)-8)/4)+8)="","",
   IF(MOD(ROW(F138)-8,4)=0,
      INDEX($AF:$AF, INT((ROW(F138)-8)/4)+8),
      IF(MOD(ROW(F138)-8,4)=3,
         SUM(OFFSET(F138,-3,0,3,1)),
      "")
   )
)</f>
        <v/>
      </c>
      <c r="G138" t="str" cm="1">
        <f t="array" ref="G138">IF(INDEX($AG:$AG, INT((ROW(G138)-8)/4)+8)="","",
   IF(MOD(ROW(G138)-8,4)=0,
      INDEX($AG:$AG, INT((ROW(G138)-8)/4)+8),
      ""
   )
)</f>
        <v/>
      </c>
    </row>
    <row r="139" spans="1:7" x14ac:dyDescent="0.25">
      <c r="A139" s="56" t="str" cm="1">
        <f t="array" ref="A139">IF(INDEX($AA:$AA, INT((ROW(A139)-8)/4)+8)="","",IF(MOD(ROW(A139)-8,4)=0, INDEX($AA:$AA, INT((ROW(A139)-8)/4)+8), ""))</f>
        <v/>
      </c>
      <c r="B139" t="str" cm="1">
        <f t="array" ref="B139">IF(INDEX($AB:$AB, INT((ROW(B139)-8)/4)+8)="","", IF(MOD(ROW(B139)-8,4)=0, INDEX($AB:$AB, INT((ROW(B139)-8)/4)+8), ""))</f>
        <v/>
      </c>
      <c r="E139" s="4"/>
      <c r="F139" s="20" t="str" cm="1">
        <f t="array" aca="1" ref="F139" ca="1">IF(INDEX($AF:$AF, INT((ROW(F139)-8)/4)+8)="","",
   IF(MOD(ROW(F139)-8,4)=0,
      INDEX($AF:$AF, INT((ROW(F139)-8)/4)+8),
      IF(MOD(ROW(F139)-8,4)=3,
         SUM(OFFSET(F139,-3,0,3,1)),
      "")
   )
)</f>
        <v/>
      </c>
      <c r="G139" t="str" cm="1">
        <f t="array" ref="G139">IF(INDEX($AG:$AG, INT((ROW(G139)-8)/4)+8)="","",
   IF(MOD(ROW(G139)-8,4)=0,
      INDEX($AG:$AG, INT((ROW(G139)-8)/4)+8),
      ""
   )
)</f>
        <v/>
      </c>
    </row>
    <row r="140" spans="1:7" x14ac:dyDescent="0.25">
      <c r="A140" s="56"/>
      <c r="B140" t="str" cm="1">
        <f t="array" ref="B140">IF(INDEX($AB:$AB, INT((ROW(B140)-8)/4)+8)="","", IF(MOD(ROW(B140)-8,4)=0, INDEX($AB:$AB, INT((ROW(B140)-8)/4)+8), ""))</f>
        <v/>
      </c>
      <c r="E140" t="str" cm="1">
        <f t="array" ref="E140">IF(INDEX($AE:$AE, INT((ROW(E140)-8)/4)+8)="","", IF(MOD(ROW(E140)-8,4)=0, INDEX($AE:$AE, INT((ROW(E140)-8)/4)+8), IF(MOD(ROW(E140)-8,4)=3, "Total Hours", "")))</f>
        <v/>
      </c>
      <c r="F140" s="20" t="str" cm="1">
        <f t="array" aca="1" ref="F140" ca="1">IF(INDEX($AF:$AF, INT((ROW(F140)-8)/4)+8)="","",
   IF(MOD(ROW(F140)-8,4)=0,
      INDEX($AF:$AF, INT((ROW(F140)-8)/4)+8),
      IF(MOD(ROW(F140)-8,4)=3,
         SUM(OFFSET(F140,-3,0,3,1)),
      "")
   )
)</f>
        <v/>
      </c>
      <c r="G140" t="str" cm="1">
        <f t="array" ref="G140">IF(INDEX($AG:$AG, INT((ROW(G140)-8)/4)+8)="","",
   IF(MOD(ROW(G140)-8,4)=0,
      INDEX($AG:$AG, INT((ROW(G140)-8)/4)+8),
      ""
   )
)</f>
        <v/>
      </c>
    </row>
    <row r="141" spans="1:7" x14ac:dyDescent="0.25">
      <c r="A141" s="56" t="str" cm="1">
        <f t="array" ref="A141">IF(INDEX($AA:$AA, INT((ROW(A141)-8)/4)+8)="","",IF(MOD(ROW(A141)-8,4)=0, INDEX($AA:$AA, INT((ROW(A141)-8)/4)+8), ""))</f>
        <v/>
      </c>
      <c r="B141" t="str" cm="1">
        <f t="array" ref="B141">IF(INDEX($AB:$AB, INT((ROW(B141)-8)/4)+8)="","", IF(MOD(ROW(B141)-8,4)=0, INDEX($AB:$AB, INT((ROW(B141)-8)/4)+8), ""))</f>
        <v/>
      </c>
      <c r="C141" s="22"/>
      <c r="D141" s="22"/>
      <c r="E141" s="22" t="str" cm="1">
        <f t="array" ref="E141">IF(INDEX($AE:$AE, INT((ROW(E141)-8)/4)+8)="","", IF(MOD(ROW(E141)-8,4)=0, INDEX($AE:$AE, INT((ROW(E141)-8)/4)+8), IF(MOD(ROW(E141)-8,4)=3, "Total Hours", "")))</f>
        <v/>
      </c>
      <c r="F141" s="66" t="str" cm="1">
        <f t="array" aca="1" ref="F141" ca="1">IF(INDEX($AF:$AF, INT((ROW(F141)-8)/4)+8)="","",
   IF(MOD(ROW(F141)-8,4)=0,
      INDEX($AF:$AF, INT((ROW(F141)-8)/4)+8),
      IF(MOD(ROW(F141)-8,4)=3,
         SUM(OFFSET(F141,-3,0,3,1)),
      "")
   )
)</f>
        <v/>
      </c>
      <c r="G141" t="str" cm="1">
        <f t="array" ref="G141">IF(INDEX($AG:$AG, INT((ROW(G141)-8)/4)+8)="","",
   IF(MOD(ROW(G141)-8,4)=0,
      INDEX($AG:$AG, INT((ROW(G141)-8)/4)+8),
      ""
   )
)</f>
        <v/>
      </c>
    </row>
    <row r="142" spans="1:7" x14ac:dyDescent="0.25">
      <c r="A142" s="56" t="str" cm="1">
        <f t="array" ref="A142">IF(INDEX($AA:$AA, INT((ROW(A142)-8)/4)+8)="","",IF(MOD(ROW(A142)-8,4)=0, INDEX($AA:$AA, INT((ROW(A142)-8)/4)+8), ""))</f>
        <v/>
      </c>
      <c r="B142" t="str" cm="1">
        <f t="array" ref="B142">IF(INDEX($AB:$AB, INT((ROW(B142)-8)/4)+8)="","", IF(MOD(ROW(B142)-8,4)=0, INDEX($AB:$AB, INT((ROW(B142)-8)/4)+8), ""))</f>
        <v/>
      </c>
      <c r="C142" s="22"/>
      <c r="D142" s="22"/>
      <c r="E142" s="22" t="str" cm="1">
        <f t="array" ref="E142">IF(INDEX($AE:$AE, INT((ROW(E142)-8)/4)+8)="","", IF(MOD(ROW(E142)-8,4)=0, INDEX($AE:$AE, INT((ROW(E142)-8)/4)+8), IF(MOD(ROW(E142)-8,4)=3, "Total Hours", "")))</f>
        <v/>
      </c>
      <c r="F142" s="66" t="str" cm="1">
        <f t="array" aca="1" ref="F142" ca="1">IF(INDEX($AF:$AF, INT((ROW(F142)-8)/4)+8)="","",
   IF(MOD(ROW(F142)-8,4)=0,
      INDEX($AF:$AF, INT((ROW(F142)-8)/4)+8),
      IF(MOD(ROW(F142)-8,4)=3,
         SUM(OFFSET(F142,-3,0,3,1)),
      "")
   )
)</f>
        <v/>
      </c>
      <c r="G142" t="str" cm="1">
        <f t="array" ref="G142">IF(INDEX($AG:$AG, INT((ROW(G142)-8)/4)+8)="","",
   IF(MOD(ROW(G142)-8,4)=0,
      INDEX($AG:$AG, INT((ROW(G142)-8)/4)+8),
      ""
   )
)</f>
        <v/>
      </c>
    </row>
    <row r="143" spans="1:7" x14ac:dyDescent="0.25">
      <c r="A143" s="56" t="str" cm="1">
        <f t="array" ref="A143">IF(INDEX($AA:$AA, INT((ROW(A143)-8)/4)+8)="","",IF(MOD(ROW(A143)-8,4)=0, INDEX($AA:$AA, INT((ROW(A143)-8)/4)+8), ""))</f>
        <v/>
      </c>
      <c r="B143" t="str" cm="1">
        <f t="array" ref="B143">IF(INDEX($AB:$AB, INT((ROW(B143)-8)/4)+8)="","", IF(MOD(ROW(B143)-8,4)=0, INDEX($AB:$AB, INT((ROW(B143)-8)/4)+8), ""))</f>
        <v/>
      </c>
      <c r="E143" s="4"/>
      <c r="F143" s="20" t="str" cm="1">
        <f t="array" aca="1" ref="F143" ca="1">IF(INDEX($AF:$AF, INT((ROW(F143)-8)/4)+8)="","",
   IF(MOD(ROW(F143)-8,4)=0,
      INDEX($AF:$AF, INT((ROW(F143)-8)/4)+8),
      IF(MOD(ROW(F143)-8,4)=3,
         SUM(OFFSET(F143,-3,0,3,1)),
      "")
   )
)</f>
        <v/>
      </c>
      <c r="G143" t="str" cm="1">
        <f t="array" ref="G143">IF(INDEX($AG:$AG, INT((ROW(G143)-8)/4)+8)="","",
   IF(MOD(ROW(G143)-8,4)=0,
      INDEX($AG:$AG, INT((ROW(G143)-8)/4)+8),
      ""
   )
)</f>
        <v/>
      </c>
    </row>
    <row r="144" spans="1:7" x14ac:dyDescent="0.25">
      <c r="A144" s="56"/>
      <c r="B144" t="str" cm="1">
        <f t="array" ref="B144">IF(INDEX($AB:$AB, INT((ROW(B144)-8)/4)+8)="","", IF(MOD(ROW(B144)-8,4)=0, INDEX($AB:$AB, INT((ROW(B144)-8)/4)+8), ""))</f>
        <v/>
      </c>
      <c r="E144" t="str" cm="1">
        <f t="array" ref="E144">IF(INDEX($AE:$AE, INT((ROW(E144)-8)/4)+8)="","", IF(MOD(ROW(E144)-8,4)=0, INDEX($AE:$AE, INT((ROW(E144)-8)/4)+8), IF(MOD(ROW(E144)-8,4)=3, "Total Hours", "")))</f>
        <v/>
      </c>
      <c r="F144" s="20" t="str" cm="1">
        <f t="array" aca="1" ref="F144" ca="1">IF(INDEX($AF:$AF, INT((ROW(F144)-8)/4)+8)="","",
   IF(MOD(ROW(F144)-8,4)=0,
      INDEX($AF:$AF, INT((ROW(F144)-8)/4)+8),
      IF(MOD(ROW(F144)-8,4)=3,
         SUM(OFFSET(F144,-3,0,3,1)),
      "")
   )
)</f>
        <v/>
      </c>
      <c r="G144" t="str" cm="1">
        <f t="array" ref="G144">IF(INDEX($AG:$AG, INT((ROW(G144)-8)/4)+8)="","",
   IF(MOD(ROW(G144)-8,4)=0,
      INDEX($AG:$AG, INT((ROW(G144)-8)/4)+8),
      ""
   )
)</f>
        <v/>
      </c>
    </row>
    <row r="145" spans="1:7" x14ac:dyDescent="0.25">
      <c r="A145" s="56" t="str" cm="1">
        <f t="array" ref="A145">IF(INDEX($AA:$AA, INT((ROW(A145)-8)/4)+8)="","",IF(MOD(ROW(A145)-8,4)=0, INDEX($AA:$AA, INT((ROW(A145)-8)/4)+8), ""))</f>
        <v/>
      </c>
      <c r="B145" t="str" cm="1">
        <f t="array" ref="B145">IF(INDEX($AB:$AB, INT((ROW(B145)-8)/4)+8)="","", IF(MOD(ROW(B145)-8,4)=0, INDEX($AB:$AB, INT((ROW(B145)-8)/4)+8), ""))</f>
        <v/>
      </c>
      <c r="C145" s="22"/>
      <c r="D145" s="22"/>
      <c r="E145" s="22" t="str" cm="1">
        <f t="array" ref="E145">IF(INDEX($AE:$AE, INT((ROW(E145)-8)/4)+8)="","", IF(MOD(ROW(E145)-8,4)=0, INDEX($AE:$AE, INT((ROW(E145)-8)/4)+8), IF(MOD(ROW(E145)-8,4)=3, "Total Hours", "")))</f>
        <v/>
      </c>
      <c r="F145" s="66" t="str" cm="1">
        <f t="array" aca="1" ref="F145" ca="1">IF(INDEX($AF:$AF, INT((ROW(F145)-8)/4)+8)="","",
   IF(MOD(ROW(F145)-8,4)=0,
      INDEX($AF:$AF, INT((ROW(F145)-8)/4)+8),
      IF(MOD(ROW(F145)-8,4)=3,
         SUM(OFFSET(F145,-3,0,3,1)),
      "")
   )
)</f>
        <v/>
      </c>
      <c r="G145" t="str" cm="1">
        <f t="array" ref="G145">IF(INDEX($AG:$AG, INT((ROW(G145)-8)/4)+8)="","",
   IF(MOD(ROW(G145)-8,4)=0,
      INDEX($AG:$AG, INT((ROW(G145)-8)/4)+8),
      ""
   )
)</f>
        <v/>
      </c>
    </row>
    <row r="146" spans="1:7" x14ac:dyDescent="0.25">
      <c r="A146" s="56" t="str" cm="1">
        <f t="array" ref="A146">IF(INDEX($AA:$AA, INT((ROW(A146)-8)/4)+8)="","",IF(MOD(ROW(A146)-8,4)=0, INDEX($AA:$AA, INT((ROW(A146)-8)/4)+8), ""))</f>
        <v/>
      </c>
      <c r="B146" t="str" cm="1">
        <f t="array" ref="B146">IF(INDEX($AB:$AB, INT((ROW(B146)-8)/4)+8)="","", IF(MOD(ROW(B146)-8,4)=0, INDEX($AB:$AB, INT((ROW(B146)-8)/4)+8), ""))</f>
        <v/>
      </c>
      <c r="C146" s="22"/>
      <c r="D146" s="22"/>
      <c r="E146" s="22" t="str" cm="1">
        <f t="array" ref="E146">IF(INDEX($AE:$AE, INT((ROW(E146)-8)/4)+8)="","", IF(MOD(ROW(E146)-8,4)=0, INDEX($AE:$AE, INT((ROW(E146)-8)/4)+8), IF(MOD(ROW(E146)-8,4)=3, "Total Hours", "")))</f>
        <v/>
      </c>
      <c r="F146" s="66" t="str" cm="1">
        <f t="array" aca="1" ref="F146" ca="1">IF(INDEX($AF:$AF, INT((ROW(F146)-8)/4)+8)="","",
   IF(MOD(ROW(F146)-8,4)=0,
      INDEX($AF:$AF, INT((ROW(F146)-8)/4)+8),
      IF(MOD(ROW(F146)-8,4)=3,
         SUM(OFFSET(F146,-3,0,3,1)),
      "")
   )
)</f>
        <v/>
      </c>
      <c r="G146" t="str" cm="1">
        <f t="array" ref="G146">IF(INDEX($AG:$AG, INT((ROW(G146)-8)/4)+8)="","",
   IF(MOD(ROW(G146)-8,4)=0,
      INDEX($AG:$AG, INT((ROW(G146)-8)/4)+8),
      ""
   )
)</f>
        <v/>
      </c>
    </row>
    <row r="147" spans="1:7" x14ac:dyDescent="0.25">
      <c r="A147" s="56" t="str" cm="1">
        <f t="array" ref="A147">IF(INDEX($AA:$AA, INT((ROW(A147)-8)/4)+8)="","",IF(MOD(ROW(A147)-8,4)=0, INDEX($AA:$AA, INT((ROW(A147)-8)/4)+8), ""))</f>
        <v/>
      </c>
      <c r="B147" t="str" cm="1">
        <f t="array" ref="B147">IF(INDEX($AB:$AB, INT((ROW(B147)-8)/4)+8)="","", IF(MOD(ROW(B147)-8,4)=0, INDEX($AB:$AB, INT((ROW(B147)-8)/4)+8), ""))</f>
        <v/>
      </c>
      <c r="E147" s="4"/>
      <c r="F147" s="20" t="str" cm="1">
        <f t="array" aca="1" ref="F147" ca="1">IF(INDEX($AF:$AF, INT((ROW(F147)-8)/4)+8)="","",
   IF(MOD(ROW(F147)-8,4)=0,
      INDEX($AF:$AF, INT((ROW(F147)-8)/4)+8),
      IF(MOD(ROW(F147)-8,4)=3,
         SUM(OFFSET(F147,-3,0,3,1)),
      "")
   )
)</f>
        <v/>
      </c>
      <c r="G147" t="str" cm="1">
        <f t="array" ref="G147">IF(INDEX($AG:$AG, INT((ROW(G147)-8)/4)+8)="","",
   IF(MOD(ROW(G147)-8,4)=0,
      INDEX($AG:$AG, INT((ROW(G147)-8)/4)+8),
      ""
   )
)</f>
        <v/>
      </c>
    </row>
    <row r="148" spans="1:7" x14ac:dyDescent="0.25">
      <c r="A148" s="56"/>
      <c r="B148" t="str" cm="1">
        <f t="array" ref="B148">IF(INDEX($AB:$AB, INT((ROW(B148)-8)/4)+8)="","", IF(MOD(ROW(B148)-8,4)=0, INDEX($AB:$AB, INT((ROW(B148)-8)/4)+8), ""))</f>
        <v/>
      </c>
      <c r="E148" t="str" cm="1">
        <f t="array" ref="E148">IF(INDEX($AE:$AE, INT((ROW(E148)-8)/4)+8)="","", IF(MOD(ROW(E148)-8,4)=0, INDEX($AE:$AE, INT((ROW(E148)-8)/4)+8), IF(MOD(ROW(E148)-8,4)=3, "Total Hours", "")))</f>
        <v/>
      </c>
      <c r="F148" s="20" t="str" cm="1">
        <f t="array" aca="1" ref="F148" ca="1">IF(INDEX($AF:$AF, INT((ROW(F148)-8)/4)+8)="","",
   IF(MOD(ROW(F148)-8,4)=0,
      INDEX($AF:$AF, INT((ROW(F148)-8)/4)+8),
      IF(MOD(ROW(F148)-8,4)=3,
         SUM(OFFSET(F148,-3,0,3,1)),
      "")
   )
)</f>
        <v/>
      </c>
      <c r="G148" t="str" cm="1">
        <f t="array" ref="G148">IF(INDEX($AG:$AG, INT((ROW(G148)-8)/4)+8)="","",
   IF(MOD(ROW(G148)-8,4)=0,
      INDEX($AG:$AG, INT((ROW(G148)-8)/4)+8),
      ""
   )
)</f>
        <v/>
      </c>
    </row>
    <row r="149" spans="1:7" x14ac:dyDescent="0.25">
      <c r="A149" s="56" t="str" cm="1">
        <f t="array" ref="A149">IF(INDEX($AA:$AA, INT((ROW(A149)-8)/4)+8)="","",IF(MOD(ROW(A149)-8,4)=0, INDEX($AA:$AA, INT((ROW(A149)-8)/4)+8), ""))</f>
        <v/>
      </c>
      <c r="B149" t="str" cm="1">
        <f t="array" ref="B149">IF(INDEX($AB:$AB, INT((ROW(B149)-8)/4)+8)="","", IF(MOD(ROW(B149)-8,4)=0, INDEX($AB:$AB, INT((ROW(B149)-8)/4)+8), ""))</f>
        <v/>
      </c>
      <c r="C149" s="22"/>
      <c r="D149" s="22"/>
      <c r="E149" s="22" t="str" cm="1">
        <f t="array" ref="E149">IF(INDEX($AE:$AE, INT((ROW(E149)-8)/4)+8)="","", IF(MOD(ROW(E149)-8,4)=0, INDEX($AE:$AE, INT((ROW(E149)-8)/4)+8), IF(MOD(ROW(E149)-8,4)=3, "Total Hours", "")))</f>
        <v/>
      </c>
      <c r="F149" s="66" t="str" cm="1">
        <f t="array" aca="1" ref="F149" ca="1">IF(INDEX($AF:$AF, INT((ROW(F149)-8)/4)+8)="","",
   IF(MOD(ROW(F149)-8,4)=0,
      INDEX($AF:$AF, INT((ROW(F149)-8)/4)+8),
      IF(MOD(ROW(F149)-8,4)=3,
         SUM(OFFSET(F149,-3,0,3,1)),
      "")
   )
)</f>
        <v/>
      </c>
      <c r="G149" t="str" cm="1">
        <f t="array" ref="G149">IF(INDEX($AG:$AG, INT((ROW(G149)-8)/4)+8)="","",
   IF(MOD(ROW(G149)-8,4)=0,
      INDEX($AG:$AG, INT((ROW(G149)-8)/4)+8),
      ""
   )
)</f>
        <v/>
      </c>
    </row>
    <row r="150" spans="1:7" x14ac:dyDescent="0.25">
      <c r="A150" s="56" t="str" cm="1">
        <f t="array" ref="A150">IF(INDEX($AA:$AA, INT((ROW(A150)-8)/4)+8)="","",IF(MOD(ROW(A150)-8,4)=0, INDEX($AA:$AA, INT((ROW(A150)-8)/4)+8), ""))</f>
        <v/>
      </c>
      <c r="B150" t="str" cm="1">
        <f t="array" ref="B150">IF(INDEX($AB:$AB, INT((ROW(B150)-8)/4)+8)="","", IF(MOD(ROW(B150)-8,4)=0, INDEX($AB:$AB, INT((ROW(B150)-8)/4)+8), ""))</f>
        <v/>
      </c>
      <c r="C150" s="22"/>
      <c r="D150" s="22"/>
      <c r="E150" s="22" t="str" cm="1">
        <f t="array" ref="E150">IF(INDEX($AE:$AE, INT((ROW(E150)-8)/4)+8)="","", IF(MOD(ROW(E150)-8,4)=0, INDEX($AE:$AE, INT((ROW(E150)-8)/4)+8), IF(MOD(ROW(E150)-8,4)=3, "Total Hours", "")))</f>
        <v/>
      </c>
      <c r="F150" s="66" t="str" cm="1">
        <f t="array" aca="1" ref="F150" ca="1">IF(INDEX($AF:$AF, INT((ROW(F150)-8)/4)+8)="","",
   IF(MOD(ROW(F150)-8,4)=0,
      INDEX($AF:$AF, INT((ROW(F150)-8)/4)+8),
      IF(MOD(ROW(F150)-8,4)=3,
         SUM(OFFSET(F150,-3,0,3,1)),
      "")
   )
)</f>
        <v/>
      </c>
      <c r="G150" t="str" cm="1">
        <f t="array" ref="G150">IF(INDEX($AG:$AG, INT((ROW(G150)-8)/4)+8)="","",
   IF(MOD(ROW(G150)-8,4)=0,
      INDEX($AG:$AG, INT((ROW(G150)-8)/4)+8),
      ""
   )
)</f>
        <v/>
      </c>
    </row>
    <row r="151" spans="1:7" x14ac:dyDescent="0.25">
      <c r="A151" s="56" t="str" cm="1">
        <f t="array" ref="A151">IF(INDEX($AA:$AA, INT((ROW(A151)-8)/4)+8)="","",IF(MOD(ROW(A151)-8,4)=0, INDEX($AA:$AA, INT((ROW(A151)-8)/4)+8), ""))</f>
        <v/>
      </c>
      <c r="B151" t="str" cm="1">
        <f t="array" ref="B151">IF(INDEX($AB:$AB, INT((ROW(B151)-8)/4)+8)="","", IF(MOD(ROW(B151)-8,4)=0, INDEX($AB:$AB, INT((ROW(B151)-8)/4)+8), ""))</f>
        <v/>
      </c>
      <c r="E151" s="4"/>
      <c r="F151" s="20" t="str" cm="1">
        <f t="array" aca="1" ref="F151" ca="1">IF(INDEX($AF:$AF, INT((ROW(F151)-8)/4)+8)="","",
   IF(MOD(ROW(F151)-8,4)=0,
      INDEX($AF:$AF, INT((ROW(F151)-8)/4)+8),
      IF(MOD(ROW(F151)-8,4)=3,
         SUM(OFFSET(F151,-3,0,3,1)),
      "")
   )
)</f>
        <v/>
      </c>
      <c r="G151" t="str" cm="1">
        <f t="array" ref="G151">IF(INDEX($AG:$AG, INT((ROW(G151)-8)/4)+8)="","",
   IF(MOD(ROW(G151)-8,4)=0,
      INDEX($AG:$AG, INT((ROW(G151)-8)/4)+8),
      ""
   )
)</f>
        <v/>
      </c>
    </row>
    <row r="152" spans="1:7" x14ac:dyDescent="0.25">
      <c r="A152" s="56"/>
      <c r="B152" t="str" cm="1">
        <f t="array" ref="B152">IF(INDEX($AB:$AB, INT((ROW(B152)-8)/4)+8)="","", IF(MOD(ROW(B152)-8,4)=0, INDEX($AB:$AB, INT((ROW(B152)-8)/4)+8), ""))</f>
        <v/>
      </c>
      <c r="E152" t="str" cm="1">
        <f t="array" ref="E152">IF(INDEX($AE:$AE, INT((ROW(E152)-8)/4)+8)="","", IF(MOD(ROW(E152)-8,4)=0, INDEX($AE:$AE, INT((ROW(E152)-8)/4)+8), IF(MOD(ROW(E152)-8,4)=3, "Total Hours", "")))</f>
        <v/>
      </c>
      <c r="F152" s="20" t="str" cm="1">
        <f t="array" aca="1" ref="F152" ca="1">IF(INDEX($AF:$AF, INT((ROW(F152)-8)/4)+8)="","",
   IF(MOD(ROW(F152)-8,4)=0,
      INDEX($AF:$AF, INT((ROW(F152)-8)/4)+8),
      IF(MOD(ROW(F152)-8,4)=3,
         SUM(OFFSET(F152,-3,0,3,1)),
      "")
   )
)</f>
        <v/>
      </c>
      <c r="G152" t="str" cm="1">
        <f t="array" ref="G152">IF(INDEX($AG:$AG, INT((ROW(G152)-8)/4)+8)="","",
   IF(MOD(ROW(G152)-8,4)=0,
      INDEX($AG:$AG, INT((ROW(G152)-8)/4)+8),
      ""
   )
)</f>
        <v/>
      </c>
    </row>
    <row r="153" spans="1:7" x14ac:dyDescent="0.25">
      <c r="A153" s="56" t="str" cm="1">
        <f t="array" ref="A153">IF(INDEX($AA:$AA, INT((ROW(A153)-8)/4)+8)="","",IF(MOD(ROW(A153)-8,4)=0, INDEX($AA:$AA, INT((ROW(A153)-8)/4)+8), ""))</f>
        <v/>
      </c>
      <c r="B153" t="str" cm="1">
        <f t="array" ref="B153">IF(INDEX($AB:$AB, INT((ROW(B153)-8)/4)+8)="","", IF(MOD(ROW(B153)-8,4)=0, INDEX($AB:$AB, INT((ROW(B153)-8)/4)+8), ""))</f>
        <v/>
      </c>
      <c r="C153" s="22"/>
      <c r="D153" s="22"/>
      <c r="E153" s="22" t="str" cm="1">
        <f t="array" ref="E153">IF(INDEX($AE:$AE, INT((ROW(E153)-8)/4)+8)="","", IF(MOD(ROW(E153)-8,4)=0, INDEX($AE:$AE, INT((ROW(E153)-8)/4)+8), IF(MOD(ROW(E153)-8,4)=3, "Total Hours", "")))</f>
        <v/>
      </c>
      <c r="F153" s="66" t="str" cm="1">
        <f t="array" aca="1" ref="F153" ca="1">IF(INDEX($AF:$AF, INT((ROW(F153)-8)/4)+8)="","",
   IF(MOD(ROW(F153)-8,4)=0,
      INDEX($AF:$AF, INT((ROW(F153)-8)/4)+8),
      IF(MOD(ROW(F153)-8,4)=3,
         SUM(OFFSET(F153,-3,0,3,1)),
      "")
   )
)</f>
        <v/>
      </c>
      <c r="G153" t="str" cm="1">
        <f t="array" ref="G153">IF(INDEX($AG:$AG, INT((ROW(G153)-8)/4)+8)="","",
   IF(MOD(ROW(G153)-8,4)=0,
      INDEX($AG:$AG, INT((ROW(G153)-8)/4)+8),
      ""
   )
)</f>
        <v/>
      </c>
    </row>
    <row r="154" spans="1:7" x14ac:dyDescent="0.25">
      <c r="A154" s="56" t="str" cm="1">
        <f t="array" ref="A154">IF(INDEX($AA:$AA, INT((ROW(A154)-8)/4)+8)="","",IF(MOD(ROW(A154)-8,4)=0, INDEX($AA:$AA, INT((ROW(A154)-8)/4)+8), ""))</f>
        <v/>
      </c>
      <c r="B154" t="str" cm="1">
        <f t="array" ref="B154">IF(INDEX($AB:$AB, INT((ROW(B154)-8)/4)+8)="","", IF(MOD(ROW(B154)-8,4)=0, INDEX($AB:$AB, INT((ROW(B154)-8)/4)+8), ""))</f>
        <v/>
      </c>
      <c r="C154" s="22"/>
      <c r="D154" s="22"/>
      <c r="E154" s="22" t="str" cm="1">
        <f t="array" ref="E154">IF(INDEX($AE:$AE, INT((ROW(E154)-8)/4)+8)="","", IF(MOD(ROW(E154)-8,4)=0, INDEX($AE:$AE, INT((ROW(E154)-8)/4)+8), IF(MOD(ROW(E154)-8,4)=3, "Total Hours", "")))</f>
        <v/>
      </c>
      <c r="F154" s="66" t="str" cm="1">
        <f t="array" aca="1" ref="F154" ca="1">IF(INDEX($AF:$AF, INT((ROW(F154)-8)/4)+8)="","",
   IF(MOD(ROW(F154)-8,4)=0,
      INDEX($AF:$AF, INT((ROW(F154)-8)/4)+8),
      IF(MOD(ROW(F154)-8,4)=3,
         SUM(OFFSET(F154,-3,0,3,1)),
      "")
   )
)</f>
        <v/>
      </c>
      <c r="G154" t="str" cm="1">
        <f t="array" ref="G154">IF(INDEX($AG:$AG, INT((ROW(G154)-8)/4)+8)="","",
   IF(MOD(ROW(G154)-8,4)=0,
      INDEX($AG:$AG, INT((ROW(G154)-8)/4)+8),
      ""
   )
)</f>
        <v/>
      </c>
    </row>
    <row r="155" spans="1:7" x14ac:dyDescent="0.25">
      <c r="A155" s="56" t="str" cm="1">
        <f t="array" ref="A155">IF(INDEX($AA:$AA, INT((ROW(A155)-8)/4)+8)="","",IF(MOD(ROW(A155)-8,4)=0, INDEX($AA:$AA, INT((ROW(A155)-8)/4)+8), ""))</f>
        <v/>
      </c>
      <c r="B155" t="str" cm="1">
        <f t="array" ref="B155">IF(INDEX($AB:$AB, INT((ROW(B155)-8)/4)+8)="","", IF(MOD(ROW(B155)-8,4)=0, INDEX($AB:$AB, INT((ROW(B155)-8)/4)+8), ""))</f>
        <v/>
      </c>
      <c r="E155" s="4"/>
      <c r="F155" s="20" t="str" cm="1">
        <f t="array" aca="1" ref="F155" ca="1">IF(INDEX($AF:$AF, INT((ROW(F155)-8)/4)+8)="","",
   IF(MOD(ROW(F155)-8,4)=0,
      INDEX($AF:$AF, INT((ROW(F155)-8)/4)+8),
      IF(MOD(ROW(F155)-8,4)=3,
         SUM(OFFSET(F155,-3,0,3,1)),
      "")
   )
)</f>
        <v/>
      </c>
      <c r="G155" t="str" cm="1">
        <f t="array" ref="G155">IF(INDEX($AG:$AG, INT((ROW(G155)-8)/4)+8)="","",
   IF(MOD(ROW(G155)-8,4)=0,
      INDEX($AG:$AG, INT((ROW(G155)-8)/4)+8),
      ""
   )
)</f>
        <v/>
      </c>
    </row>
    <row r="156" spans="1:7" x14ac:dyDescent="0.25">
      <c r="A156" s="56"/>
      <c r="B156" t="str" cm="1">
        <f t="array" ref="B156">IF(INDEX($AB:$AB, INT((ROW(B156)-8)/4)+8)="","", IF(MOD(ROW(B156)-8,4)=0, INDEX($AB:$AB, INT((ROW(B156)-8)/4)+8), ""))</f>
        <v/>
      </c>
      <c r="E156" t="str" cm="1">
        <f t="array" ref="E156">IF(INDEX($AE:$AE, INT((ROW(E156)-8)/4)+8)="","", IF(MOD(ROW(E156)-8,4)=0, INDEX($AE:$AE, INT((ROW(E156)-8)/4)+8), IF(MOD(ROW(E156)-8,4)=3, "Total Hours", "")))</f>
        <v/>
      </c>
      <c r="F156" s="20" t="str" cm="1">
        <f t="array" aca="1" ref="F156" ca="1">IF(INDEX($AF:$AF, INT((ROW(F156)-8)/4)+8)="","",
   IF(MOD(ROW(F156)-8,4)=0,
      INDEX($AF:$AF, INT((ROW(F156)-8)/4)+8),
      IF(MOD(ROW(F156)-8,4)=3,
         SUM(OFFSET(F156,-3,0,3,1)),
      "")
   )
)</f>
        <v/>
      </c>
      <c r="G156" t="str" cm="1">
        <f t="array" ref="G156">IF(INDEX($AG:$AG, INT((ROW(G156)-8)/4)+8)="","",
   IF(MOD(ROW(G156)-8,4)=0,
      INDEX($AG:$AG, INT((ROW(G156)-8)/4)+8),
      ""
   )
)</f>
        <v/>
      </c>
    </row>
    <row r="157" spans="1:7" x14ac:dyDescent="0.25">
      <c r="A157" s="56" t="str" cm="1">
        <f t="array" ref="A157">IF(INDEX($AA:$AA, INT((ROW(A157)-8)/4)+8)="","",IF(MOD(ROW(A157)-8,4)=0, INDEX($AA:$AA, INT((ROW(A157)-8)/4)+8), ""))</f>
        <v/>
      </c>
      <c r="B157" t="str" cm="1">
        <f t="array" ref="B157">IF(INDEX($AB:$AB, INT((ROW(B157)-8)/4)+8)="","", IF(MOD(ROW(B157)-8,4)=0, INDEX($AB:$AB, INT((ROW(B157)-8)/4)+8), ""))</f>
        <v/>
      </c>
      <c r="C157" s="22"/>
      <c r="D157" s="22"/>
      <c r="E157" s="22" t="str" cm="1">
        <f t="array" ref="E157">IF(INDEX($AE:$AE, INT((ROW(E157)-8)/4)+8)="","", IF(MOD(ROW(E157)-8,4)=0, INDEX($AE:$AE, INT((ROW(E157)-8)/4)+8), IF(MOD(ROW(E157)-8,4)=3, "Total Hours", "")))</f>
        <v/>
      </c>
      <c r="F157" s="66" t="str" cm="1">
        <f t="array" aca="1" ref="F157" ca="1">IF(INDEX($AF:$AF, INT((ROW(F157)-8)/4)+8)="","",
   IF(MOD(ROW(F157)-8,4)=0,
      INDEX($AF:$AF, INT((ROW(F157)-8)/4)+8),
      IF(MOD(ROW(F157)-8,4)=3,
         SUM(OFFSET(F157,-3,0,3,1)),
      "")
   )
)</f>
        <v/>
      </c>
      <c r="G157" t="str" cm="1">
        <f t="array" ref="G157">IF(INDEX($AG:$AG, INT((ROW(G157)-8)/4)+8)="","",
   IF(MOD(ROW(G157)-8,4)=0,
      INDEX($AG:$AG, INT((ROW(G157)-8)/4)+8),
      ""
   )
)</f>
        <v/>
      </c>
    </row>
    <row r="158" spans="1:7" x14ac:dyDescent="0.25">
      <c r="A158" s="56" t="str" cm="1">
        <f t="array" ref="A158">IF(INDEX($AA:$AA, INT((ROW(A158)-8)/4)+8)="","",IF(MOD(ROW(A158)-8,4)=0, INDEX($AA:$AA, INT((ROW(A158)-8)/4)+8), ""))</f>
        <v/>
      </c>
      <c r="B158" t="str" cm="1">
        <f t="array" ref="B158">IF(INDEX($AB:$AB, INT((ROW(B158)-8)/4)+8)="","", IF(MOD(ROW(B158)-8,4)=0, INDEX($AB:$AB, INT((ROW(B158)-8)/4)+8), ""))</f>
        <v/>
      </c>
      <c r="C158" s="22"/>
      <c r="D158" s="22"/>
      <c r="E158" s="22" t="str" cm="1">
        <f t="array" ref="E158">IF(INDEX($AE:$AE, INT((ROW(E158)-8)/4)+8)="","", IF(MOD(ROW(E158)-8,4)=0, INDEX($AE:$AE, INT((ROW(E158)-8)/4)+8), IF(MOD(ROW(E158)-8,4)=3, "Total Hours", "")))</f>
        <v/>
      </c>
      <c r="F158" s="66" t="str" cm="1">
        <f t="array" aca="1" ref="F158" ca="1">IF(INDEX($AF:$AF, INT((ROW(F158)-8)/4)+8)="","",
   IF(MOD(ROW(F158)-8,4)=0,
      INDEX($AF:$AF, INT((ROW(F158)-8)/4)+8),
      IF(MOD(ROW(F158)-8,4)=3,
         SUM(OFFSET(F158,-3,0,3,1)),
      "")
   )
)</f>
        <v/>
      </c>
      <c r="G158" t="str" cm="1">
        <f t="array" ref="G158">IF(INDEX($AG:$AG, INT((ROW(G158)-8)/4)+8)="","",
   IF(MOD(ROW(G158)-8,4)=0,
      INDEX($AG:$AG, INT((ROW(G158)-8)/4)+8),
      ""
   )
)</f>
        <v/>
      </c>
    </row>
    <row r="159" spans="1:7" x14ac:dyDescent="0.25">
      <c r="A159" s="56" t="str" cm="1">
        <f t="array" ref="A159">IF(INDEX($AA:$AA, INT((ROW(A159)-8)/4)+8)="","",IF(MOD(ROW(A159)-8,4)=0, INDEX($AA:$AA, INT((ROW(A159)-8)/4)+8), ""))</f>
        <v/>
      </c>
      <c r="B159" t="str" cm="1">
        <f t="array" ref="B159">IF(INDEX($AB:$AB, INT((ROW(B159)-8)/4)+8)="","", IF(MOD(ROW(B159)-8,4)=0, INDEX($AB:$AB, INT((ROW(B159)-8)/4)+8), ""))</f>
        <v/>
      </c>
      <c r="E159" s="4"/>
      <c r="F159" s="20" t="str" cm="1">
        <f t="array" aca="1" ref="F159" ca="1">IF(INDEX($AF:$AF, INT((ROW(F159)-8)/4)+8)="","",
   IF(MOD(ROW(F159)-8,4)=0,
      INDEX($AF:$AF, INT((ROW(F159)-8)/4)+8),
      IF(MOD(ROW(F159)-8,4)=3,
         SUM(OFFSET(F159,-3,0,3,1)),
      "")
   )
)</f>
        <v/>
      </c>
      <c r="G159" t="str" cm="1">
        <f t="array" ref="G159">IF(INDEX($AG:$AG, INT((ROW(G159)-8)/4)+8)="","",
   IF(MOD(ROW(G159)-8,4)=0,
      INDEX($AG:$AG, INT((ROW(G159)-8)/4)+8),
      ""
   )
)</f>
        <v/>
      </c>
    </row>
    <row r="160" spans="1:7" x14ac:dyDescent="0.25">
      <c r="A160" s="56"/>
      <c r="B160" t="str" cm="1">
        <f t="array" ref="B160">IF(INDEX($AB:$AB, INT((ROW(B160)-8)/4)+8)="","", IF(MOD(ROW(B160)-8,4)=0, INDEX($AB:$AB, INT((ROW(B160)-8)/4)+8), ""))</f>
        <v/>
      </c>
      <c r="E160" t="str" cm="1">
        <f t="array" ref="E160">IF(INDEX($AE:$AE, INT((ROW(E160)-8)/4)+8)="","", IF(MOD(ROW(E160)-8,4)=0, INDEX($AE:$AE, INT((ROW(E160)-8)/4)+8), IF(MOD(ROW(E160)-8,4)=3, "Total Hours", "")))</f>
        <v/>
      </c>
      <c r="F160" s="20" t="str" cm="1">
        <f t="array" aca="1" ref="F160" ca="1">IF(INDEX($AF:$AF, INT((ROW(F160)-8)/4)+8)="","",
   IF(MOD(ROW(F160)-8,4)=0,
      INDEX($AF:$AF, INT((ROW(F160)-8)/4)+8),
      IF(MOD(ROW(F160)-8,4)=3,
         SUM(OFFSET(F160,-3,0,3,1)),
      "")
   )
)</f>
        <v/>
      </c>
      <c r="G160" t="str" cm="1">
        <f t="array" ref="G160">IF(INDEX($AG:$AG, INT((ROW(G160)-8)/4)+8)="","",
   IF(MOD(ROW(G160)-8,4)=0,
      INDEX($AG:$AG, INT((ROW(G160)-8)/4)+8),
      ""
   )
)</f>
        <v/>
      </c>
    </row>
    <row r="161" spans="1:7" x14ac:dyDescent="0.25">
      <c r="A161" s="56" t="str" cm="1">
        <f t="array" ref="A161">IF(INDEX($AA:$AA, INT((ROW(A161)-8)/4)+8)="","",IF(MOD(ROW(A161)-8,4)=0, INDEX($AA:$AA, INT((ROW(A161)-8)/4)+8), ""))</f>
        <v/>
      </c>
      <c r="B161" t="str" cm="1">
        <f t="array" ref="B161">IF(INDEX($AB:$AB, INT((ROW(B161)-8)/4)+8)="","", IF(MOD(ROW(B161)-8,4)=0, INDEX($AB:$AB, INT((ROW(B161)-8)/4)+8), ""))</f>
        <v/>
      </c>
      <c r="C161" s="22"/>
      <c r="D161" s="22"/>
      <c r="E161" s="22" t="str" cm="1">
        <f t="array" ref="E161">IF(INDEX($AE:$AE, INT((ROW(E161)-8)/4)+8)="","", IF(MOD(ROW(E161)-8,4)=0, INDEX($AE:$AE, INT((ROW(E161)-8)/4)+8), IF(MOD(ROW(E161)-8,4)=3, "Total Hours", "")))</f>
        <v/>
      </c>
      <c r="F161" s="66" t="str" cm="1">
        <f t="array" aca="1" ref="F161" ca="1">IF(INDEX($AF:$AF, INT((ROW(F161)-8)/4)+8)="","",
   IF(MOD(ROW(F161)-8,4)=0,
      INDEX($AF:$AF, INT((ROW(F161)-8)/4)+8),
      IF(MOD(ROW(F161)-8,4)=3,
         SUM(OFFSET(F161,-3,0,3,1)),
      "")
   )
)</f>
        <v/>
      </c>
      <c r="G161" t="str" cm="1">
        <f t="array" ref="G161">IF(INDEX($AG:$AG, INT((ROW(G161)-8)/4)+8)="","",
   IF(MOD(ROW(G161)-8,4)=0,
      INDEX($AG:$AG, INT((ROW(G161)-8)/4)+8),
      ""
   )
)</f>
        <v/>
      </c>
    </row>
    <row r="162" spans="1:7" x14ac:dyDescent="0.25">
      <c r="A162" s="56" t="str" cm="1">
        <f t="array" ref="A162">IF(INDEX($AA:$AA, INT((ROW(A162)-8)/4)+8)="","",IF(MOD(ROW(A162)-8,4)=0, INDEX($AA:$AA, INT((ROW(A162)-8)/4)+8), ""))</f>
        <v/>
      </c>
      <c r="B162" t="str" cm="1">
        <f t="array" ref="B162">IF(INDEX($AB:$AB, INT((ROW(B162)-8)/4)+8)="","", IF(MOD(ROW(B162)-8,4)=0, INDEX($AB:$AB, INT((ROW(B162)-8)/4)+8), ""))</f>
        <v/>
      </c>
      <c r="C162" s="22"/>
      <c r="D162" s="22"/>
      <c r="E162" s="22" t="str" cm="1">
        <f t="array" ref="E162">IF(INDEX($AE:$AE, INT((ROW(E162)-8)/4)+8)="","", IF(MOD(ROW(E162)-8,4)=0, INDEX($AE:$AE, INT((ROW(E162)-8)/4)+8), IF(MOD(ROW(E162)-8,4)=3, "Total Hours", "")))</f>
        <v/>
      </c>
      <c r="F162" s="66" t="str" cm="1">
        <f t="array" aca="1" ref="F162" ca="1">IF(INDEX($AF:$AF, INT((ROW(F162)-8)/4)+8)="","",
   IF(MOD(ROW(F162)-8,4)=0,
      INDEX($AF:$AF, INT((ROW(F162)-8)/4)+8),
      IF(MOD(ROW(F162)-8,4)=3,
         SUM(OFFSET(F162,-3,0,3,1)),
      "")
   )
)</f>
        <v/>
      </c>
      <c r="G162" t="str" cm="1">
        <f t="array" ref="G162">IF(INDEX($AG:$AG, INT((ROW(G162)-8)/4)+8)="","",
   IF(MOD(ROW(G162)-8,4)=0,
      INDEX($AG:$AG, INT((ROW(G162)-8)/4)+8),
      ""
   )
)</f>
        <v/>
      </c>
    </row>
    <row r="163" spans="1:7" x14ac:dyDescent="0.25">
      <c r="A163" s="56" t="str" cm="1">
        <f t="array" ref="A163">IF(INDEX($AA:$AA, INT((ROW(A163)-8)/4)+8)="","",IF(MOD(ROW(A163)-8,4)=0, INDEX($AA:$AA, INT((ROW(A163)-8)/4)+8), ""))</f>
        <v/>
      </c>
      <c r="B163" t="str" cm="1">
        <f t="array" ref="B163">IF(INDEX($AB:$AB, INT((ROW(B163)-8)/4)+8)="","", IF(MOD(ROW(B163)-8,4)=0, INDEX($AB:$AB, INT((ROW(B163)-8)/4)+8), ""))</f>
        <v/>
      </c>
      <c r="E163" s="4"/>
      <c r="F163" s="20" t="str" cm="1">
        <f t="array" aca="1" ref="F163" ca="1">IF(INDEX($AF:$AF, INT((ROW(F163)-8)/4)+8)="","",
   IF(MOD(ROW(F163)-8,4)=0,
      INDEX($AF:$AF, INT((ROW(F163)-8)/4)+8),
      IF(MOD(ROW(F163)-8,4)=3,
         SUM(OFFSET(F163,-3,0,3,1)),
      "")
   )
)</f>
        <v/>
      </c>
      <c r="G163" t="str" cm="1">
        <f t="array" ref="G163">IF(INDEX($AG:$AG, INT((ROW(G163)-8)/4)+8)="","",
   IF(MOD(ROW(G163)-8,4)=0,
      INDEX($AG:$AG, INT((ROW(G163)-8)/4)+8),
      ""
   )
)</f>
        <v/>
      </c>
    </row>
    <row r="164" spans="1:7" x14ac:dyDescent="0.25">
      <c r="A164" s="56"/>
      <c r="B164" t="str" cm="1">
        <f t="array" ref="B164">IF(INDEX($AB:$AB, INT((ROW(B164)-8)/4)+8)="","", IF(MOD(ROW(B164)-8,4)=0, INDEX($AB:$AB, INT((ROW(B164)-8)/4)+8), ""))</f>
        <v/>
      </c>
      <c r="E164" t="str" cm="1">
        <f t="array" ref="E164">IF(INDEX($AE:$AE, INT((ROW(E164)-8)/4)+8)="","", IF(MOD(ROW(E164)-8,4)=0, INDEX($AE:$AE, INT((ROW(E164)-8)/4)+8), IF(MOD(ROW(E164)-8,4)=3, "Total Hours", "")))</f>
        <v/>
      </c>
      <c r="F164" s="20" t="str" cm="1">
        <f t="array" aca="1" ref="F164" ca="1">IF(INDEX($AF:$AF, INT((ROW(F164)-8)/4)+8)="","",
   IF(MOD(ROW(F164)-8,4)=0,
      INDEX($AF:$AF, INT((ROW(F164)-8)/4)+8),
      IF(MOD(ROW(F164)-8,4)=3,
         SUM(OFFSET(F164,-3,0,3,1)),
      "")
   )
)</f>
        <v/>
      </c>
      <c r="G164" t="str" cm="1">
        <f t="array" ref="G164">IF(INDEX($AG:$AG, INT((ROW(G164)-8)/4)+8)="","",
   IF(MOD(ROW(G164)-8,4)=0,
      INDEX($AG:$AG, INT((ROW(G164)-8)/4)+8),
      ""
   )
)</f>
        <v/>
      </c>
    </row>
    <row r="165" spans="1:7" x14ac:dyDescent="0.25">
      <c r="A165" s="56" t="str" cm="1">
        <f t="array" ref="A165">IF(INDEX($AA:$AA, INT((ROW(A165)-8)/4)+8)="","",IF(MOD(ROW(A165)-8,4)=0, INDEX($AA:$AA, INT((ROW(A165)-8)/4)+8), ""))</f>
        <v/>
      </c>
      <c r="B165" t="str" cm="1">
        <f t="array" ref="B165">IF(INDEX($AB:$AB, INT((ROW(B165)-8)/4)+8)="","", IF(MOD(ROW(B165)-8,4)=0, INDEX($AB:$AB, INT((ROW(B165)-8)/4)+8), ""))</f>
        <v/>
      </c>
      <c r="C165" s="22"/>
      <c r="D165" s="22"/>
      <c r="E165" s="22" t="str" cm="1">
        <f t="array" ref="E165">IF(INDEX($AE:$AE, INT((ROW(E165)-8)/4)+8)="","", IF(MOD(ROW(E165)-8,4)=0, INDEX($AE:$AE, INT((ROW(E165)-8)/4)+8), IF(MOD(ROW(E165)-8,4)=3, "Total Hours", "")))</f>
        <v/>
      </c>
      <c r="F165" s="66" t="str" cm="1">
        <f t="array" aca="1" ref="F165" ca="1">IF(INDEX($AF:$AF, INT((ROW(F165)-8)/4)+8)="","",
   IF(MOD(ROW(F165)-8,4)=0,
      INDEX($AF:$AF, INT((ROW(F165)-8)/4)+8),
      IF(MOD(ROW(F165)-8,4)=3,
         SUM(OFFSET(F165,-3,0,3,1)),
      "")
   )
)</f>
        <v/>
      </c>
      <c r="G165" t="str" cm="1">
        <f t="array" ref="G165">IF(INDEX($AG:$AG, INT((ROW(G165)-8)/4)+8)="","",
   IF(MOD(ROW(G165)-8,4)=0,
      INDEX($AG:$AG, INT((ROW(G165)-8)/4)+8),
      ""
   )
)</f>
        <v/>
      </c>
    </row>
    <row r="166" spans="1:7" x14ac:dyDescent="0.25">
      <c r="A166" s="56" t="str" cm="1">
        <f t="array" ref="A166">IF(INDEX($AA:$AA, INT((ROW(A166)-8)/4)+8)="","",IF(MOD(ROW(A166)-8,4)=0, INDEX($AA:$AA, INT((ROW(A166)-8)/4)+8), ""))</f>
        <v/>
      </c>
      <c r="B166" t="str" cm="1">
        <f t="array" ref="B166">IF(INDEX($AB:$AB, INT((ROW(B166)-8)/4)+8)="","", IF(MOD(ROW(B166)-8,4)=0, INDEX($AB:$AB, INT((ROW(B166)-8)/4)+8), ""))</f>
        <v/>
      </c>
      <c r="C166" s="22"/>
      <c r="D166" s="22"/>
      <c r="E166" s="22" t="str" cm="1">
        <f t="array" ref="E166">IF(INDEX($AE:$AE, INT((ROW(E166)-8)/4)+8)="","", IF(MOD(ROW(E166)-8,4)=0, INDEX($AE:$AE, INT((ROW(E166)-8)/4)+8), IF(MOD(ROW(E166)-8,4)=3, "Total Hours", "")))</f>
        <v/>
      </c>
      <c r="F166" s="66" t="str" cm="1">
        <f t="array" aca="1" ref="F166" ca="1">IF(INDEX($AF:$AF, INT((ROW(F166)-8)/4)+8)="","",
   IF(MOD(ROW(F166)-8,4)=0,
      INDEX($AF:$AF, INT((ROW(F166)-8)/4)+8),
      IF(MOD(ROW(F166)-8,4)=3,
         SUM(OFFSET(F166,-3,0,3,1)),
      "")
   )
)</f>
        <v/>
      </c>
      <c r="G166" t="str" cm="1">
        <f t="array" ref="G166">IF(INDEX($AG:$AG, INT((ROW(G166)-8)/4)+8)="","",
   IF(MOD(ROW(G166)-8,4)=0,
      INDEX($AG:$AG, INT((ROW(G166)-8)/4)+8),
      ""
   )
)</f>
        <v/>
      </c>
    </row>
    <row r="167" spans="1:7" x14ac:dyDescent="0.25">
      <c r="A167" s="56" t="str" cm="1">
        <f t="array" ref="A167">IF(INDEX($AA:$AA, INT((ROW(A167)-8)/4)+8)="","",IF(MOD(ROW(A167)-8,4)=0, INDEX($AA:$AA, INT((ROW(A167)-8)/4)+8), ""))</f>
        <v/>
      </c>
      <c r="B167" t="str" cm="1">
        <f t="array" ref="B167">IF(INDEX($AB:$AB, INT((ROW(B167)-8)/4)+8)="","", IF(MOD(ROW(B167)-8,4)=0, INDEX($AB:$AB, INT((ROW(B167)-8)/4)+8), ""))</f>
        <v/>
      </c>
      <c r="E167" s="4"/>
      <c r="F167" s="20" t="str" cm="1">
        <f t="array" aca="1" ref="F167" ca="1">IF(INDEX($AF:$AF, INT((ROW(F167)-8)/4)+8)="","",
   IF(MOD(ROW(F167)-8,4)=0,
      INDEX($AF:$AF, INT((ROW(F167)-8)/4)+8),
      IF(MOD(ROW(F167)-8,4)=3,
         SUM(OFFSET(F167,-3,0,3,1)),
      "")
   )
)</f>
        <v/>
      </c>
      <c r="G167" t="str" cm="1">
        <f t="array" ref="G167">IF(INDEX($AG:$AG, INT((ROW(G167)-8)/4)+8)="","",
   IF(MOD(ROW(G167)-8,4)=0,
      INDEX($AG:$AG, INT((ROW(G167)-8)/4)+8),
      ""
   )
)</f>
        <v/>
      </c>
    </row>
    <row r="168" spans="1:7" x14ac:dyDescent="0.25">
      <c r="A168" s="56"/>
      <c r="B168" t="str" cm="1">
        <f t="array" ref="B168">IF(INDEX($AB:$AB, INT((ROW(B168)-8)/4)+8)="","", IF(MOD(ROW(B168)-8,4)=0, INDEX($AB:$AB, INT((ROW(B168)-8)/4)+8), ""))</f>
        <v/>
      </c>
      <c r="E168" t="str" cm="1">
        <f t="array" ref="E168">IF(INDEX($AE:$AE, INT((ROW(E168)-8)/4)+8)="","", IF(MOD(ROW(E168)-8,4)=0, INDEX($AE:$AE, INT((ROW(E168)-8)/4)+8), IF(MOD(ROW(E168)-8,4)=3, "Total Hours", "")))</f>
        <v/>
      </c>
      <c r="F168" s="20" t="str" cm="1">
        <f t="array" aca="1" ref="F168" ca="1">IF(INDEX($AF:$AF, INT((ROW(F168)-8)/4)+8)="","",
   IF(MOD(ROW(F168)-8,4)=0,
      INDEX($AF:$AF, INT((ROW(F168)-8)/4)+8),
      IF(MOD(ROW(F168)-8,4)=3,
         SUM(OFFSET(F168,-3,0,3,1)),
      "")
   )
)</f>
        <v/>
      </c>
      <c r="G168" t="str" cm="1">
        <f t="array" ref="G168">IF(INDEX($AG:$AG, INT((ROW(G168)-8)/4)+8)="","",
   IF(MOD(ROW(G168)-8,4)=0,
      INDEX($AG:$AG, INT((ROW(G168)-8)/4)+8),
      ""
   )
)</f>
        <v/>
      </c>
    </row>
    <row r="169" spans="1:7" x14ac:dyDescent="0.25">
      <c r="A169" s="56" t="str" cm="1">
        <f t="array" ref="A169">IF(INDEX($AA:$AA, INT((ROW(A169)-8)/4)+8)="","",IF(MOD(ROW(A169)-8,4)=0, INDEX($AA:$AA, INT((ROW(A169)-8)/4)+8), ""))</f>
        <v/>
      </c>
      <c r="B169" t="str" cm="1">
        <f t="array" ref="B169">IF(INDEX($AB:$AB, INT((ROW(B169)-8)/4)+8)="","", IF(MOD(ROW(B169)-8,4)=0, INDEX($AB:$AB, INT((ROW(B169)-8)/4)+8), ""))</f>
        <v/>
      </c>
      <c r="C169" s="22"/>
      <c r="D169" s="22"/>
      <c r="E169" s="22" t="str" cm="1">
        <f t="array" ref="E169">IF(INDEX($AE:$AE, INT((ROW(E169)-8)/4)+8)="","", IF(MOD(ROW(E169)-8,4)=0, INDEX($AE:$AE, INT((ROW(E169)-8)/4)+8), IF(MOD(ROW(E169)-8,4)=3, "Total Hours", "")))</f>
        <v/>
      </c>
      <c r="F169" s="66" t="str" cm="1">
        <f t="array" aca="1" ref="F169" ca="1">IF(INDEX($AF:$AF, INT((ROW(F169)-8)/4)+8)="","",
   IF(MOD(ROW(F169)-8,4)=0,
      INDEX($AF:$AF, INT((ROW(F169)-8)/4)+8),
      IF(MOD(ROW(F169)-8,4)=3,
         SUM(OFFSET(F169,-3,0,3,1)),
      "")
   )
)</f>
        <v/>
      </c>
      <c r="G169" t="str" cm="1">
        <f t="array" ref="G169">IF(INDEX($AG:$AG, INT((ROW(G169)-8)/4)+8)="","",
   IF(MOD(ROW(G169)-8,4)=0,
      INDEX($AG:$AG, INT((ROW(G169)-8)/4)+8),
      ""
   )
)</f>
        <v/>
      </c>
    </row>
    <row r="170" spans="1:7" x14ac:dyDescent="0.25">
      <c r="A170" s="56" t="str" cm="1">
        <f t="array" ref="A170">IF(INDEX($AA:$AA, INT((ROW(A170)-8)/4)+8)="","",IF(MOD(ROW(A170)-8,4)=0, INDEX($AA:$AA, INT((ROW(A170)-8)/4)+8), ""))</f>
        <v/>
      </c>
      <c r="B170" t="str" cm="1">
        <f t="array" ref="B170">IF(INDEX($AB:$AB, INT((ROW(B170)-8)/4)+8)="","", IF(MOD(ROW(B170)-8,4)=0, INDEX($AB:$AB, INT((ROW(B170)-8)/4)+8), ""))</f>
        <v/>
      </c>
      <c r="C170" s="22"/>
      <c r="D170" s="22"/>
      <c r="E170" s="22" t="str" cm="1">
        <f t="array" ref="E170">IF(INDEX($AE:$AE, INT((ROW(E170)-8)/4)+8)="","", IF(MOD(ROW(E170)-8,4)=0, INDEX($AE:$AE, INT((ROW(E170)-8)/4)+8), IF(MOD(ROW(E170)-8,4)=3, "Total Hours", "")))</f>
        <v/>
      </c>
      <c r="F170" s="66" t="str" cm="1">
        <f t="array" aca="1" ref="F170" ca="1">IF(INDEX($AF:$AF, INT((ROW(F170)-8)/4)+8)="","",
   IF(MOD(ROW(F170)-8,4)=0,
      INDEX($AF:$AF, INT((ROW(F170)-8)/4)+8),
      IF(MOD(ROW(F170)-8,4)=3,
         SUM(OFFSET(F170,-3,0,3,1)),
      "")
   )
)</f>
        <v/>
      </c>
      <c r="G170" t="str" cm="1">
        <f t="array" ref="G170">IF(INDEX($AG:$AG, INT((ROW(G170)-8)/4)+8)="","",
   IF(MOD(ROW(G170)-8,4)=0,
      INDEX($AG:$AG, INT((ROW(G170)-8)/4)+8),
      ""
   )
)</f>
        <v/>
      </c>
    </row>
    <row r="171" spans="1:7" x14ac:dyDescent="0.25">
      <c r="A171" s="56" t="str" cm="1">
        <f t="array" ref="A171">IF(INDEX($AA:$AA, INT((ROW(A171)-8)/4)+8)="","",IF(MOD(ROW(A171)-8,4)=0, INDEX($AA:$AA, INT((ROW(A171)-8)/4)+8), ""))</f>
        <v/>
      </c>
      <c r="B171" t="str" cm="1">
        <f t="array" ref="B171">IF(INDEX($AB:$AB, INT((ROW(B171)-8)/4)+8)="","", IF(MOD(ROW(B171)-8,4)=0, INDEX($AB:$AB, INT((ROW(B171)-8)/4)+8), ""))</f>
        <v/>
      </c>
      <c r="E171" s="4"/>
      <c r="F171" s="20" t="str" cm="1">
        <f t="array" aca="1" ref="F171" ca="1">IF(INDEX($AF:$AF, INT((ROW(F171)-8)/4)+8)="","",
   IF(MOD(ROW(F171)-8,4)=0,
      INDEX($AF:$AF, INT((ROW(F171)-8)/4)+8),
      IF(MOD(ROW(F171)-8,4)=3,
         SUM(OFFSET(F171,-3,0,3,1)),
      "")
   )
)</f>
        <v/>
      </c>
      <c r="G171" t="str" cm="1">
        <f t="array" ref="G171">IF(INDEX($AG:$AG, INT((ROW(G171)-8)/4)+8)="","",
   IF(MOD(ROW(G171)-8,4)=0,
      INDEX($AG:$AG, INT((ROW(G171)-8)/4)+8),
      ""
   )
)</f>
        <v/>
      </c>
    </row>
    <row r="172" spans="1:7" x14ac:dyDescent="0.25">
      <c r="A172" s="56"/>
      <c r="B172" t="str" cm="1">
        <f t="array" ref="B172">IF(INDEX($AB:$AB, INT((ROW(B172)-8)/4)+8)="","", IF(MOD(ROW(B172)-8,4)=0, INDEX($AB:$AB, INT((ROW(B172)-8)/4)+8), ""))</f>
        <v/>
      </c>
      <c r="E172" t="str" cm="1">
        <f t="array" ref="E172">IF(INDEX($AE:$AE, INT((ROW(E172)-8)/4)+8)="","", IF(MOD(ROW(E172)-8,4)=0, INDEX($AE:$AE, INT((ROW(E172)-8)/4)+8), IF(MOD(ROW(E172)-8,4)=3, "Total Hours", "")))</f>
        <v/>
      </c>
      <c r="F172" s="20" t="str" cm="1">
        <f t="array" aca="1" ref="F172" ca="1">IF(INDEX($AF:$AF, INT((ROW(F172)-8)/4)+8)="","",
   IF(MOD(ROW(F172)-8,4)=0,
      INDEX($AF:$AF, INT((ROW(F172)-8)/4)+8),
      IF(MOD(ROW(F172)-8,4)=3,
         SUM(OFFSET(F172,-3,0,3,1)),
      "")
   )
)</f>
        <v/>
      </c>
      <c r="G172" t="str" cm="1">
        <f t="array" ref="G172">IF(INDEX($AG:$AG, INT((ROW(G172)-8)/4)+8)="","",
   IF(MOD(ROW(G172)-8,4)=0,
      INDEX($AG:$AG, INT((ROW(G172)-8)/4)+8),
      ""
   )
)</f>
        <v/>
      </c>
    </row>
    <row r="173" spans="1:7" x14ac:dyDescent="0.25">
      <c r="A173" s="56" t="str" cm="1">
        <f t="array" ref="A173">IF(INDEX($AA:$AA, INT((ROW(A173)-8)/4)+8)="","",IF(MOD(ROW(A173)-8,4)=0, INDEX($AA:$AA, INT((ROW(A173)-8)/4)+8), ""))</f>
        <v/>
      </c>
      <c r="B173" t="str" cm="1">
        <f t="array" ref="B173">IF(INDEX($AB:$AB, INT((ROW(B173)-8)/4)+8)="","", IF(MOD(ROW(B173)-8,4)=0, INDEX($AB:$AB, INT((ROW(B173)-8)/4)+8), ""))</f>
        <v/>
      </c>
      <c r="C173" s="22"/>
      <c r="D173" s="22"/>
      <c r="E173" s="22" t="str" cm="1">
        <f t="array" ref="E173">IF(INDEX($AE:$AE, INT((ROW(E173)-8)/4)+8)="","", IF(MOD(ROW(E173)-8,4)=0, INDEX($AE:$AE, INT((ROW(E173)-8)/4)+8), IF(MOD(ROW(E173)-8,4)=3, "Total Hours", "")))</f>
        <v/>
      </c>
      <c r="F173" s="66" t="str" cm="1">
        <f t="array" aca="1" ref="F173" ca="1">IF(INDEX($AF:$AF, INT((ROW(F173)-8)/4)+8)="","",
   IF(MOD(ROW(F173)-8,4)=0,
      INDEX($AF:$AF, INT((ROW(F173)-8)/4)+8),
      IF(MOD(ROW(F173)-8,4)=3,
         SUM(OFFSET(F173,-3,0,3,1)),
      "")
   )
)</f>
        <v/>
      </c>
      <c r="G173" t="str" cm="1">
        <f t="array" ref="G173">IF(INDEX($AG:$AG, INT((ROW(G173)-8)/4)+8)="","",
   IF(MOD(ROW(G173)-8,4)=0,
      INDEX($AG:$AG, INT((ROW(G173)-8)/4)+8),
      ""
   )
)</f>
        <v/>
      </c>
    </row>
    <row r="174" spans="1:7" x14ac:dyDescent="0.25">
      <c r="A174" s="56" t="str" cm="1">
        <f t="array" ref="A174">IF(INDEX($AA:$AA, INT((ROW(A174)-8)/4)+8)="","",IF(MOD(ROW(A174)-8,4)=0, INDEX($AA:$AA, INT((ROW(A174)-8)/4)+8), ""))</f>
        <v/>
      </c>
      <c r="B174" t="str" cm="1">
        <f t="array" ref="B174">IF(INDEX($AB:$AB, INT((ROW(B174)-8)/4)+8)="","", IF(MOD(ROW(B174)-8,4)=0, INDEX($AB:$AB, INT((ROW(B174)-8)/4)+8), ""))</f>
        <v/>
      </c>
      <c r="C174" s="22"/>
      <c r="D174" s="22"/>
      <c r="E174" s="22" t="str" cm="1">
        <f t="array" ref="E174">IF(INDEX($AE:$AE, INT((ROW(E174)-8)/4)+8)="","", IF(MOD(ROW(E174)-8,4)=0, INDEX($AE:$AE, INT((ROW(E174)-8)/4)+8), IF(MOD(ROW(E174)-8,4)=3, "Total Hours", "")))</f>
        <v/>
      </c>
      <c r="F174" s="66" t="str" cm="1">
        <f t="array" aca="1" ref="F174" ca="1">IF(INDEX($AF:$AF, INT((ROW(F174)-8)/4)+8)="","",
   IF(MOD(ROW(F174)-8,4)=0,
      INDEX($AF:$AF, INT((ROW(F174)-8)/4)+8),
      IF(MOD(ROW(F174)-8,4)=3,
         SUM(OFFSET(F174,-3,0,3,1)),
      "")
   )
)</f>
        <v/>
      </c>
      <c r="G174" t="str" cm="1">
        <f t="array" ref="G174">IF(INDEX($AG:$AG, INT((ROW(G174)-8)/4)+8)="","",
   IF(MOD(ROW(G174)-8,4)=0,
      INDEX($AG:$AG, INT((ROW(G174)-8)/4)+8),
      ""
   )
)</f>
        <v/>
      </c>
    </row>
    <row r="175" spans="1:7" x14ac:dyDescent="0.25">
      <c r="A175" s="56" t="str" cm="1">
        <f t="array" ref="A175">IF(INDEX($AA:$AA, INT((ROW(A175)-8)/4)+8)="","",IF(MOD(ROW(A175)-8,4)=0, INDEX($AA:$AA, INT((ROW(A175)-8)/4)+8), ""))</f>
        <v/>
      </c>
      <c r="B175" t="str" cm="1">
        <f t="array" ref="B175">IF(INDEX($AB:$AB, INT((ROW(B175)-8)/4)+8)="","", IF(MOD(ROW(B175)-8,4)=0, INDEX($AB:$AB, INT((ROW(B175)-8)/4)+8), ""))</f>
        <v/>
      </c>
      <c r="E175" s="4"/>
      <c r="F175" s="20" t="str" cm="1">
        <f t="array" aca="1" ref="F175" ca="1">IF(INDEX($AF:$AF, INT((ROW(F175)-8)/4)+8)="","",
   IF(MOD(ROW(F175)-8,4)=0,
      INDEX($AF:$AF, INT((ROW(F175)-8)/4)+8),
      IF(MOD(ROW(F175)-8,4)=3,
         SUM(OFFSET(F175,-3,0,3,1)),
      "")
   )
)</f>
        <v/>
      </c>
      <c r="G175" t="str" cm="1">
        <f t="array" ref="G175">IF(INDEX($AG:$AG, INT((ROW(G175)-8)/4)+8)="","",
   IF(MOD(ROW(G175)-8,4)=0,
      INDEX($AG:$AG, INT((ROW(G175)-8)/4)+8),
      ""
   )
)</f>
        <v/>
      </c>
    </row>
    <row r="176" spans="1:7" x14ac:dyDescent="0.25">
      <c r="A176" s="56"/>
      <c r="B176" t="str" cm="1">
        <f t="array" ref="B176">IF(INDEX($AB:$AB, INT((ROW(B176)-8)/4)+8)="","", IF(MOD(ROW(B176)-8,4)=0, INDEX($AB:$AB, INT((ROW(B176)-8)/4)+8), ""))</f>
        <v/>
      </c>
      <c r="E176" t="str" cm="1">
        <f t="array" ref="E176">IF(INDEX($AE:$AE, INT((ROW(E176)-8)/4)+8)="","", IF(MOD(ROW(E176)-8,4)=0, INDEX($AE:$AE, INT((ROW(E176)-8)/4)+8), IF(MOD(ROW(E176)-8,4)=3, "Total Hours", "")))</f>
        <v/>
      </c>
      <c r="F176" s="20" t="str" cm="1">
        <f t="array" aca="1" ref="F176" ca="1">IF(INDEX($AF:$AF, INT((ROW(F176)-8)/4)+8)="","",
   IF(MOD(ROW(F176)-8,4)=0,
      INDEX($AF:$AF, INT((ROW(F176)-8)/4)+8),
      IF(MOD(ROW(F176)-8,4)=3,
         SUM(OFFSET(F176,-3,0,3,1)),
      "")
   )
)</f>
        <v/>
      </c>
      <c r="G176" t="str" cm="1">
        <f t="array" ref="G176">IF(INDEX($AG:$AG, INT((ROW(G176)-8)/4)+8)="","",
   IF(MOD(ROW(G176)-8,4)=0,
      INDEX($AG:$AG, INT((ROW(G176)-8)/4)+8),
      ""
   )
)</f>
        <v/>
      </c>
    </row>
    <row r="177" spans="1:7" x14ac:dyDescent="0.25">
      <c r="A177" s="56" t="str" cm="1">
        <f t="array" ref="A177">IF(INDEX($AA:$AA, INT((ROW(A177)-8)/4)+8)="","",IF(MOD(ROW(A177)-8,4)=0, INDEX($AA:$AA, INT((ROW(A177)-8)/4)+8), ""))</f>
        <v/>
      </c>
      <c r="B177" t="str" cm="1">
        <f t="array" ref="B177">IF(INDEX($AB:$AB, INT((ROW(B177)-8)/4)+8)="","", IF(MOD(ROW(B177)-8,4)=0, INDEX($AB:$AB, INT((ROW(B177)-8)/4)+8), ""))</f>
        <v/>
      </c>
      <c r="C177" s="22"/>
      <c r="D177" s="22"/>
      <c r="E177" s="22" t="str" cm="1">
        <f t="array" ref="E177">IF(INDEX($AE:$AE, INT((ROW(E177)-8)/4)+8)="","", IF(MOD(ROW(E177)-8,4)=0, INDEX($AE:$AE, INT((ROW(E177)-8)/4)+8), IF(MOD(ROW(E177)-8,4)=3, "Total Hours", "")))</f>
        <v/>
      </c>
      <c r="F177" s="66" t="str" cm="1">
        <f t="array" aca="1" ref="F177" ca="1">IF(INDEX($AF:$AF, INT((ROW(F177)-8)/4)+8)="","",
   IF(MOD(ROW(F177)-8,4)=0,
      INDEX($AF:$AF, INT((ROW(F177)-8)/4)+8),
      IF(MOD(ROW(F177)-8,4)=3,
         SUM(OFFSET(F177,-3,0,3,1)),
      "")
   )
)</f>
        <v/>
      </c>
      <c r="G177" t="str" cm="1">
        <f t="array" ref="G177">IF(INDEX($AG:$AG, INT((ROW(G177)-8)/4)+8)="","",
   IF(MOD(ROW(G177)-8,4)=0,
      INDEX($AG:$AG, INT((ROW(G177)-8)/4)+8),
      ""
   )
)</f>
        <v/>
      </c>
    </row>
    <row r="178" spans="1:7" x14ac:dyDescent="0.25">
      <c r="A178" s="56" t="str" cm="1">
        <f t="array" ref="A178">IF(INDEX($AA:$AA, INT((ROW(A178)-8)/4)+8)="","",IF(MOD(ROW(A178)-8,4)=0, INDEX($AA:$AA, INT((ROW(A178)-8)/4)+8), ""))</f>
        <v/>
      </c>
      <c r="B178" t="str" cm="1">
        <f t="array" ref="B178">IF(INDEX($AB:$AB, INT((ROW(B178)-8)/4)+8)="","", IF(MOD(ROW(B178)-8,4)=0, INDEX($AB:$AB, INT((ROW(B178)-8)/4)+8), ""))</f>
        <v/>
      </c>
      <c r="C178" s="22"/>
      <c r="D178" s="22"/>
      <c r="E178" s="22" t="str" cm="1">
        <f t="array" ref="E178">IF(INDEX($AE:$AE, INT((ROW(E178)-8)/4)+8)="","", IF(MOD(ROW(E178)-8,4)=0, INDEX($AE:$AE, INT((ROW(E178)-8)/4)+8), IF(MOD(ROW(E178)-8,4)=3, "Total Hours", "")))</f>
        <v/>
      </c>
      <c r="F178" s="66" t="str" cm="1">
        <f t="array" aca="1" ref="F178" ca="1">IF(INDEX($AF:$AF, INT((ROW(F178)-8)/4)+8)="","",
   IF(MOD(ROW(F178)-8,4)=0,
      INDEX($AF:$AF, INT((ROW(F178)-8)/4)+8),
      IF(MOD(ROW(F178)-8,4)=3,
         SUM(OFFSET(F178,-3,0,3,1)),
      "")
   )
)</f>
        <v/>
      </c>
      <c r="G178" t="str" cm="1">
        <f t="array" ref="G178">IF(INDEX($AG:$AG, INT((ROW(G178)-8)/4)+8)="","",
   IF(MOD(ROW(G178)-8,4)=0,
      INDEX($AG:$AG, INT((ROW(G178)-8)/4)+8),
      ""
   )
)</f>
        <v/>
      </c>
    </row>
    <row r="179" spans="1:7" x14ac:dyDescent="0.25">
      <c r="A179" s="56" t="str" cm="1">
        <f t="array" ref="A179">IF(INDEX($AA:$AA, INT((ROW(A179)-8)/4)+8)="","",IF(MOD(ROW(A179)-8,4)=0, INDEX($AA:$AA, INT((ROW(A179)-8)/4)+8), ""))</f>
        <v/>
      </c>
      <c r="B179" t="str" cm="1">
        <f t="array" ref="B179">IF(INDEX($AB:$AB, INT((ROW(B179)-8)/4)+8)="","", IF(MOD(ROW(B179)-8,4)=0, INDEX($AB:$AB, INT((ROW(B179)-8)/4)+8), ""))</f>
        <v/>
      </c>
      <c r="E179" s="4"/>
      <c r="F179" s="20" t="str" cm="1">
        <f t="array" aca="1" ref="F179" ca="1">IF(INDEX($AF:$AF, INT((ROW(F179)-8)/4)+8)="","",
   IF(MOD(ROW(F179)-8,4)=0,
      INDEX($AF:$AF, INT((ROW(F179)-8)/4)+8),
      IF(MOD(ROW(F179)-8,4)=3,
         SUM(OFFSET(F179,-3,0,3,1)),
      "")
   )
)</f>
        <v/>
      </c>
      <c r="G179" t="str" cm="1">
        <f t="array" ref="G179">IF(INDEX($AG:$AG, INT((ROW(G179)-8)/4)+8)="","",
   IF(MOD(ROW(G179)-8,4)=0,
      INDEX($AG:$AG, INT((ROW(G179)-8)/4)+8),
      ""
   )
)</f>
        <v/>
      </c>
    </row>
    <row r="180" spans="1:7" x14ac:dyDescent="0.25">
      <c r="A180" s="56"/>
      <c r="B180" t="str" cm="1">
        <f t="array" ref="B180">IF(INDEX($AB:$AB, INT((ROW(B180)-8)/4)+8)="","", IF(MOD(ROW(B180)-8,4)=0, INDEX($AB:$AB, INT((ROW(B180)-8)/4)+8), ""))</f>
        <v/>
      </c>
      <c r="E180" t="str" cm="1">
        <f t="array" ref="E180">IF(INDEX($AE:$AE, INT((ROW(E180)-8)/4)+8)="","", IF(MOD(ROW(E180)-8,4)=0, INDEX($AE:$AE, INT((ROW(E180)-8)/4)+8), IF(MOD(ROW(E180)-8,4)=3, "Total Hours", "")))</f>
        <v/>
      </c>
      <c r="F180" s="20" t="str" cm="1">
        <f t="array" aca="1" ref="F180" ca="1">IF(INDEX($AF:$AF, INT((ROW(F180)-8)/4)+8)="","",
   IF(MOD(ROW(F180)-8,4)=0,
      INDEX($AF:$AF, INT((ROW(F180)-8)/4)+8),
      IF(MOD(ROW(F180)-8,4)=3,
         SUM(OFFSET(F180,-3,0,3,1)),
      "")
   )
)</f>
        <v/>
      </c>
      <c r="G180" t="str" cm="1">
        <f t="array" ref="G180">IF(INDEX($AG:$AG, INT((ROW(G180)-8)/4)+8)="","",
   IF(MOD(ROW(G180)-8,4)=0,
      INDEX($AG:$AG, INT((ROW(G180)-8)/4)+8),
      ""
   )
)</f>
        <v/>
      </c>
    </row>
    <row r="181" spans="1:7" x14ac:dyDescent="0.25">
      <c r="A181" s="56" t="str" cm="1">
        <f t="array" ref="A181">IF(INDEX($AA:$AA, INT((ROW(A181)-8)/4)+8)="","",IF(MOD(ROW(A181)-8,4)=0, INDEX($AA:$AA, INT((ROW(A181)-8)/4)+8), ""))</f>
        <v/>
      </c>
      <c r="B181" t="str" cm="1">
        <f t="array" ref="B181">IF(INDEX($AB:$AB, INT((ROW(B181)-8)/4)+8)="","", IF(MOD(ROW(B181)-8,4)=0, INDEX($AB:$AB, INT((ROW(B181)-8)/4)+8), ""))</f>
        <v/>
      </c>
      <c r="C181" s="22"/>
      <c r="D181" s="22"/>
      <c r="E181" s="22" t="str" cm="1">
        <f t="array" ref="E181">IF(INDEX($AE:$AE, INT((ROW(E181)-8)/4)+8)="","", IF(MOD(ROW(E181)-8,4)=0, INDEX($AE:$AE, INT((ROW(E181)-8)/4)+8), IF(MOD(ROW(E181)-8,4)=3, "Total Hours", "")))</f>
        <v/>
      </c>
      <c r="F181" s="66" t="str" cm="1">
        <f t="array" aca="1" ref="F181" ca="1">IF(INDEX($AF:$AF, INT((ROW(F181)-8)/4)+8)="","",
   IF(MOD(ROW(F181)-8,4)=0,
      INDEX($AF:$AF, INT((ROW(F181)-8)/4)+8),
      IF(MOD(ROW(F181)-8,4)=3,
         SUM(OFFSET(F181,-3,0,3,1)),
      "")
   )
)</f>
        <v/>
      </c>
      <c r="G181" t="str" cm="1">
        <f t="array" ref="G181">IF(INDEX($AG:$AG, INT((ROW(G181)-8)/4)+8)="","",
   IF(MOD(ROW(G181)-8,4)=0,
      INDEX($AG:$AG, INT((ROW(G181)-8)/4)+8),
      ""
   )
)</f>
        <v/>
      </c>
    </row>
    <row r="182" spans="1:7" x14ac:dyDescent="0.25">
      <c r="A182" s="56" t="str" cm="1">
        <f t="array" ref="A182">IF(INDEX($AA:$AA, INT((ROW(A182)-8)/4)+8)="","",IF(MOD(ROW(A182)-8,4)=0, INDEX($AA:$AA, INT((ROW(A182)-8)/4)+8), ""))</f>
        <v/>
      </c>
      <c r="B182" t="str" cm="1">
        <f t="array" ref="B182">IF(INDEX($AB:$AB, INT((ROW(B182)-8)/4)+8)="","", IF(MOD(ROW(B182)-8,4)=0, INDEX($AB:$AB, INT((ROW(B182)-8)/4)+8), ""))</f>
        <v/>
      </c>
      <c r="C182" s="22"/>
      <c r="D182" s="22"/>
      <c r="E182" s="22" t="str" cm="1">
        <f t="array" ref="E182">IF(INDEX($AE:$AE, INT((ROW(E182)-8)/4)+8)="","", IF(MOD(ROW(E182)-8,4)=0, INDEX($AE:$AE, INT((ROW(E182)-8)/4)+8), IF(MOD(ROW(E182)-8,4)=3, "Total Hours", "")))</f>
        <v/>
      </c>
      <c r="F182" s="66" t="str" cm="1">
        <f t="array" aca="1" ref="F182" ca="1">IF(INDEX($AF:$AF, INT((ROW(F182)-8)/4)+8)="","",
   IF(MOD(ROW(F182)-8,4)=0,
      INDEX($AF:$AF, INT((ROW(F182)-8)/4)+8),
      IF(MOD(ROW(F182)-8,4)=3,
         SUM(OFFSET(F182,-3,0,3,1)),
      "")
   )
)</f>
        <v/>
      </c>
      <c r="G182" t="str" cm="1">
        <f t="array" ref="G182">IF(INDEX($AG:$AG, INT((ROW(G182)-8)/4)+8)="","",
   IF(MOD(ROW(G182)-8,4)=0,
      INDEX($AG:$AG, INT((ROW(G182)-8)/4)+8),
      ""
   )
)</f>
        <v/>
      </c>
    </row>
    <row r="183" spans="1:7" x14ac:dyDescent="0.25">
      <c r="A183" s="56" t="str" cm="1">
        <f t="array" ref="A183">IF(INDEX($AA:$AA, INT((ROW(A183)-8)/4)+8)="","",IF(MOD(ROW(A183)-8,4)=0, INDEX($AA:$AA, INT((ROW(A183)-8)/4)+8), ""))</f>
        <v/>
      </c>
      <c r="B183" t="str" cm="1">
        <f t="array" ref="B183">IF(INDEX($AB:$AB, INT((ROW(B183)-8)/4)+8)="","", IF(MOD(ROW(B183)-8,4)=0, INDEX($AB:$AB, INT((ROW(B183)-8)/4)+8), ""))</f>
        <v/>
      </c>
      <c r="E183" s="4"/>
      <c r="F183" s="20" t="str" cm="1">
        <f t="array" aca="1" ref="F183" ca="1">IF(INDEX($AF:$AF, INT((ROW(F183)-8)/4)+8)="","",
   IF(MOD(ROW(F183)-8,4)=0,
      INDEX($AF:$AF, INT((ROW(F183)-8)/4)+8),
      IF(MOD(ROW(F183)-8,4)=3,
         SUM(OFFSET(F183,-3,0,3,1)),
      "")
   )
)</f>
        <v/>
      </c>
      <c r="G183" t="str" cm="1">
        <f t="array" ref="G183">IF(INDEX($AG:$AG, INT((ROW(G183)-8)/4)+8)="","",
   IF(MOD(ROW(G183)-8,4)=0,
      INDEX($AG:$AG, INT((ROW(G183)-8)/4)+8),
      ""
   )
)</f>
        <v/>
      </c>
    </row>
    <row r="184" spans="1:7" x14ac:dyDescent="0.25">
      <c r="A184" s="56"/>
      <c r="B184" t="str" cm="1">
        <f t="array" ref="B184">IF(INDEX($AB:$AB, INT((ROW(B184)-8)/4)+8)="","", IF(MOD(ROW(B184)-8,4)=0, INDEX($AB:$AB, INT((ROW(B184)-8)/4)+8), ""))</f>
        <v/>
      </c>
      <c r="E184" t="str" cm="1">
        <f t="array" ref="E184">IF(INDEX($AE:$AE, INT((ROW(E184)-8)/4)+8)="","", IF(MOD(ROW(E184)-8,4)=0, INDEX($AE:$AE, INT((ROW(E184)-8)/4)+8), IF(MOD(ROW(E184)-8,4)=3, "Total Hours", "")))</f>
        <v/>
      </c>
      <c r="F184" s="20" t="str" cm="1">
        <f t="array" aca="1" ref="F184" ca="1">IF(INDEX($AF:$AF, INT((ROW(F184)-8)/4)+8)="","",
   IF(MOD(ROW(F184)-8,4)=0,
      INDEX($AF:$AF, INT((ROW(F184)-8)/4)+8),
      IF(MOD(ROW(F184)-8,4)=3,
         SUM(OFFSET(F184,-3,0,3,1)),
      "")
   )
)</f>
        <v/>
      </c>
      <c r="G184" t="str" cm="1">
        <f t="array" ref="G184">IF(INDEX($AG:$AG, INT((ROW(G184)-8)/4)+8)="","",
   IF(MOD(ROW(G184)-8,4)=0,
      INDEX($AG:$AG, INT((ROW(G184)-8)/4)+8),
      ""
   )
)</f>
        <v/>
      </c>
    </row>
    <row r="185" spans="1:7" x14ac:dyDescent="0.25">
      <c r="A185" s="56" t="str" cm="1">
        <f t="array" ref="A185">IF(INDEX($AA:$AA, INT((ROW(A185)-8)/4)+8)="","",IF(MOD(ROW(A185)-8,4)=0, INDEX($AA:$AA, INT((ROW(A185)-8)/4)+8), ""))</f>
        <v/>
      </c>
      <c r="B185" t="str" cm="1">
        <f t="array" ref="B185">IF(INDEX($AB:$AB, INT((ROW(B185)-8)/4)+8)="","", IF(MOD(ROW(B185)-8,4)=0, INDEX($AB:$AB, INT((ROW(B185)-8)/4)+8), ""))</f>
        <v/>
      </c>
      <c r="C185" s="22"/>
      <c r="D185" s="22"/>
      <c r="E185" s="22" t="str" cm="1">
        <f t="array" ref="E185">IF(INDEX($AE:$AE, INT((ROW(E185)-8)/4)+8)="","", IF(MOD(ROW(E185)-8,4)=0, INDEX($AE:$AE, INT((ROW(E185)-8)/4)+8), IF(MOD(ROW(E185)-8,4)=3, "Total Hours", "")))</f>
        <v/>
      </c>
      <c r="F185" s="66" t="str" cm="1">
        <f t="array" aca="1" ref="F185" ca="1">IF(INDEX($AF:$AF, INT((ROW(F185)-8)/4)+8)="","",
   IF(MOD(ROW(F185)-8,4)=0,
      INDEX($AF:$AF, INT((ROW(F185)-8)/4)+8),
      IF(MOD(ROW(F185)-8,4)=3,
         SUM(OFFSET(F185,-3,0,3,1)),
      "")
   )
)</f>
        <v/>
      </c>
      <c r="G185" t="str" cm="1">
        <f t="array" ref="G185">IF(INDEX($AG:$AG, INT((ROW(G185)-8)/4)+8)="","",
   IF(MOD(ROW(G185)-8,4)=0,
      INDEX($AG:$AG, INT((ROW(G185)-8)/4)+8),
      ""
   )
)</f>
        <v/>
      </c>
    </row>
    <row r="186" spans="1:7" x14ac:dyDescent="0.25">
      <c r="A186" s="56" t="str" cm="1">
        <f t="array" ref="A186">IF(INDEX($AA:$AA, INT((ROW(A186)-8)/4)+8)="","",IF(MOD(ROW(A186)-8,4)=0, INDEX($AA:$AA, INT((ROW(A186)-8)/4)+8), ""))</f>
        <v/>
      </c>
      <c r="B186" t="str" cm="1">
        <f t="array" ref="B186">IF(INDEX($AB:$AB, INT((ROW(B186)-8)/4)+8)="","", IF(MOD(ROW(B186)-8,4)=0, INDEX($AB:$AB, INT((ROW(B186)-8)/4)+8), ""))</f>
        <v/>
      </c>
      <c r="C186" s="22"/>
      <c r="D186" s="22"/>
      <c r="E186" s="22" t="str" cm="1">
        <f t="array" ref="E186">IF(INDEX($AE:$AE, INT((ROW(E186)-8)/4)+8)="","", IF(MOD(ROW(E186)-8,4)=0, INDEX($AE:$AE, INT((ROW(E186)-8)/4)+8), IF(MOD(ROW(E186)-8,4)=3, "Total Hours", "")))</f>
        <v/>
      </c>
      <c r="F186" s="66" t="str" cm="1">
        <f t="array" aca="1" ref="F186" ca="1">IF(INDEX($AF:$AF, INT((ROW(F186)-8)/4)+8)="","",
   IF(MOD(ROW(F186)-8,4)=0,
      INDEX($AF:$AF, INT((ROW(F186)-8)/4)+8),
      IF(MOD(ROW(F186)-8,4)=3,
         SUM(OFFSET(F186,-3,0,3,1)),
      "")
   )
)</f>
        <v/>
      </c>
      <c r="G186" t="str" cm="1">
        <f t="array" ref="G186">IF(INDEX($AG:$AG, INT((ROW(G186)-8)/4)+8)="","",
   IF(MOD(ROW(G186)-8,4)=0,
      INDEX($AG:$AG, INT((ROW(G186)-8)/4)+8),
      ""
   )
)</f>
        <v/>
      </c>
    </row>
    <row r="187" spans="1:7" x14ac:dyDescent="0.25">
      <c r="A187" s="56" t="str" cm="1">
        <f t="array" ref="A187">IF(INDEX($AA:$AA, INT((ROW(A187)-8)/4)+8)="","",IF(MOD(ROW(A187)-8,4)=0, INDEX($AA:$AA, INT((ROW(A187)-8)/4)+8), ""))</f>
        <v/>
      </c>
      <c r="B187" t="str" cm="1">
        <f t="array" ref="B187">IF(INDEX($AB:$AB, INT((ROW(B187)-8)/4)+8)="","", IF(MOD(ROW(B187)-8,4)=0, INDEX($AB:$AB, INT((ROW(B187)-8)/4)+8), ""))</f>
        <v/>
      </c>
      <c r="E187" s="4"/>
      <c r="F187" s="20" t="str" cm="1">
        <f t="array" aca="1" ref="F187" ca="1">IF(INDEX($AF:$AF, INT((ROW(F187)-8)/4)+8)="","",
   IF(MOD(ROW(F187)-8,4)=0,
      INDEX($AF:$AF, INT((ROW(F187)-8)/4)+8),
      IF(MOD(ROW(F187)-8,4)=3,
         SUM(OFFSET(F187,-3,0,3,1)),
      "")
   )
)</f>
        <v/>
      </c>
      <c r="G187" t="str" cm="1">
        <f t="array" ref="G187">IF(INDEX($AG:$AG, INT((ROW(G187)-8)/4)+8)="","",
   IF(MOD(ROW(G187)-8,4)=0,
      INDEX($AG:$AG, INT((ROW(G187)-8)/4)+8),
      ""
   )
)</f>
        <v/>
      </c>
    </row>
    <row r="188" spans="1:7" x14ac:dyDescent="0.25">
      <c r="A188" s="56"/>
      <c r="B188" t="str" cm="1">
        <f t="array" ref="B188">IF(INDEX($AB:$AB, INT((ROW(B188)-8)/4)+8)="","", IF(MOD(ROW(B188)-8,4)=0, INDEX($AB:$AB, INT((ROW(B188)-8)/4)+8), ""))</f>
        <v/>
      </c>
      <c r="E188" t="str" cm="1">
        <f t="array" ref="E188">IF(INDEX($AE:$AE, INT((ROW(E188)-8)/4)+8)="","", IF(MOD(ROW(E188)-8,4)=0, INDEX($AE:$AE, INT((ROW(E188)-8)/4)+8), IF(MOD(ROW(E188)-8,4)=3, "Total Hours", "")))</f>
        <v/>
      </c>
      <c r="F188" s="20" t="str" cm="1">
        <f t="array" aca="1" ref="F188" ca="1">IF(INDEX($AF:$AF, INT((ROW(F188)-8)/4)+8)="","",
   IF(MOD(ROW(F188)-8,4)=0,
      INDEX($AF:$AF, INT((ROW(F188)-8)/4)+8),
      IF(MOD(ROW(F188)-8,4)=3,
         SUM(OFFSET(F188,-3,0,3,1)),
      "")
   )
)</f>
        <v/>
      </c>
      <c r="G188" t="str" cm="1">
        <f t="array" ref="G188">IF(INDEX($AG:$AG, INT((ROW(G188)-8)/4)+8)="","",
   IF(MOD(ROW(G188)-8,4)=0,
      INDEX($AG:$AG, INT((ROW(G188)-8)/4)+8),
      ""
   )
)</f>
        <v/>
      </c>
    </row>
    <row r="189" spans="1:7" x14ac:dyDescent="0.25">
      <c r="A189" s="56" t="str" cm="1">
        <f t="array" ref="A189">IF(INDEX($AA:$AA, INT((ROW(A189)-8)/4)+8)="","",IF(MOD(ROW(A189)-8,4)=0, INDEX($AA:$AA, INT((ROW(A189)-8)/4)+8), ""))</f>
        <v/>
      </c>
      <c r="B189" t="str" cm="1">
        <f t="array" ref="B189">IF(INDEX($AB:$AB, INT((ROW(B189)-8)/4)+8)="","", IF(MOD(ROW(B189)-8,4)=0, INDEX($AB:$AB, INT((ROW(B189)-8)/4)+8), ""))</f>
        <v/>
      </c>
      <c r="C189" s="22"/>
      <c r="D189" s="22"/>
      <c r="E189" s="22" t="str" cm="1">
        <f t="array" ref="E189">IF(INDEX($AE:$AE, INT((ROW(E189)-8)/4)+8)="","", IF(MOD(ROW(E189)-8,4)=0, INDEX($AE:$AE, INT((ROW(E189)-8)/4)+8), IF(MOD(ROW(E189)-8,4)=3, "Total Hours", "")))</f>
        <v/>
      </c>
      <c r="F189" s="66" t="str" cm="1">
        <f t="array" aca="1" ref="F189" ca="1">IF(INDEX($AF:$AF, INT((ROW(F189)-8)/4)+8)="","",
   IF(MOD(ROW(F189)-8,4)=0,
      INDEX($AF:$AF, INT((ROW(F189)-8)/4)+8),
      IF(MOD(ROW(F189)-8,4)=3,
         SUM(OFFSET(F189,-3,0,3,1)),
      "")
   )
)</f>
        <v/>
      </c>
      <c r="G189" t="str" cm="1">
        <f t="array" ref="G189">IF(INDEX($AG:$AG, INT((ROW(G189)-8)/4)+8)="","",
   IF(MOD(ROW(G189)-8,4)=0,
      INDEX($AG:$AG, INT((ROW(G189)-8)/4)+8),
      ""
   )
)</f>
        <v/>
      </c>
    </row>
    <row r="190" spans="1:7" x14ac:dyDescent="0.25">
      <c r="A190" s="56" t="str" cm="1">
        <f t="array" ref="A190">IF(INDEX($AA:$AA, INT((ROW(A190)-8)/4)+8)="","",IF(MOD(ROW(A190)-8,4)=0, INDEX($AA:$AA, INT((ROW(A190)-8)/4)+8), ""))</f>
        <v/>
      </c>
      <c r="B190" t="str" cm="1">
        <f t="array" ref="B190">IF(INDEX($AB:$AB, INT((ROW(B190)-8)/4)+8)="","", IF(MOD(ROW(B190)-8,4)=0, INDEX($AB:$AB, INT((ROW(B190)-8)/4)+8), ""))</f>
        <v/>
      </c>
      <c r="C190" s="22"/>
      <c r="D190" s="22"/>
      <c r="E190" s="22" t="str" cm="1">
        <f t="array" ref="E190">IF(INDEX($AE:$AE, INT((ROW(E190)-8)/4)+8)="","", IF(MOD(ROW(E190)-8,4)=0, INDEX($AE:$AE, INT((ROW(E190)-8)/4)+8), IF(MOD(ROW(E190)-8,4)=3, "Total Hours", "")))</f>
        <v/>
      </c>
      <c r="F190" s="66" t="str" cm="1">
        <f t="array" aca="1" ref="F190" ca="1">IF(INDEX($AF:$AF, INT((ROW(F190)-8)/4)+8)="","",
   IF(MOD(ROW(F190)-8,4)=0,
      INDEX($AF:$AF, INT((ROW(F190)-8)/4)+8),
      IF(MOD(ROW(F190)-8,4)=3,
         SUM(OFFSET(F190,-3,0,3,1)),
      "")
   )
)</f>
        <v/>
      </c>
      <c r="G190" t="str" cm="1">
        <f t="array" ref="G190">IF(INDEX($AG:$AG, INT((ROW(G190)-8)/4)+8)="","",
   IF(MOD(ROW(G190)-8,4)=0,
      INDEX($AG:$AG, INT((ROW(G190)-8)/4)+8),
      ""
   )
)</f>
        <v/>
      </c>
    </row>
    <row r="191" spans="1:7" x14ac:dyDescent="0.25">
      <c r="A191" s="56" t="str" cm="1">
        <f t="array" ref="A191">IF(INDEX($AA:$AA, INT((ROW(A191)-8)/4)+8)="","",IF(MOD(ROW(A191)-8,4)=0, INDEX($AA:$AA, INT((ROW(A191)-8)/4)+8), ""))</f>
        <v/>
      </c>
      <c r="B191" t="str" cm="1">
        <f t="array" ref="B191">IF(INDEX($AB:$AB, INT((ROW(B191)-8)/4)+8)="","", IF(MOD(ROW(B191)-8,4)=0, INDEX($AB:$AB, INT((ROW(B191)-8)/4)+8), ""))</f>
        <v/>
      </c>
      <c r="E191" s="4"/>
      <c r="F191" s="20" t="str" cm="1">
        <f t="array" aca="1" ref="F191" ca="1">IF(INDEX($AF:$AF, INT((ROW(F191)-8)/4)+8)="","",
   IF(MOD(ROW(F191)-8,4)=0,
      INDEX($AF:$AF, INT((ROW(F191)-8)/4)+8),
      IF(MOD(ROW(F191)-8,4)=3,
         SUM(OFFSET(F191,-3,0,3,1)),
      "")
   )
)</f>
        <v/>
      </c>
      <c r="G191" t="str" cm="1">
        <f t="array" ref="G191">IF(INDEX($AG:$AG, INT((ROW(G191)-8)/4)+8)="","",
   IF(MOD(ROW(G191)-8,4)=0,
      INDEX($AG:$AG, INT((ROW(G191)-8)/4)+8),
      ""
   )
)</f>
        <v/>
      </c>
    </row>
    <row r="192" spans="1:7" x14ac:dyDescent="0.25">
      <c r="A192" s="56"/>
      <c r="B192" t="str" cm="1">
        <f t="array" ref="B192">IF(INDEX($AB:$AB, INT((ROW(B192)-8)/4)+8)="","", IF(MOD(ROW(B192)-8,4)=0, INDEX($AB:$AB, INT((ROW(B192)-8)/4)+8), ""))</f>
        <v/>
      </c>
      <c r="E192" t="str" cm="1">
        <f t="array" ref="E192">IF(INDEX($AE:$AE, INT((ROW(E192)-8)/4)+8)="","", IF(MOD(ROW(E192)-8,4)=0, INDEX($AE:$AE, INT((ROW(E192)-8)/4)+8), IF(MOD(ROW(E192)-8,4)=3, "Total Hours", "")))</f>
        <v/>
      </c>
      <c r="F192" s="20" t="str" cm="1">
        <f t="array" aca="1" ref="F192" ca="1">IF(INDEX($AF:$AF, INT((ROW(F192)-8)/4)+8)="","",
   IF(MOD(ROW(F192)-8,4)=0,
      INDEX($AF:$AF, INT((ROW(F192)-8)/4)+8),
      IF(MOD(ROW(F192)-8,4)=3,
         SUM(OFFSET(F192,-3,0,3,1)),
      "")
   )
)</f>
        <v/>
      </c>
      <c r="G192" t="str" cm="1">
        <f t="array" ref="G192">IF(INDEX($AG:$AG, INT((ROW(G192)-8)/4)+8)="","",
   IF(MOD(ROW(G192)-8,4)=0,
      INDEX($AG:$AG, INT((ROW(G192)-8)/4)+8),
      ""
   )
)</f>
        <v/>
      </c>
    </row>
    <row r="193" spans="1:7" x14ac:dyDescent="0.25">
      <c r="A193" s="56" t="str" cm="1">
        <f t="array" ref="A193">IF(INDEX($AA:$AA, INT((ROW(A193)-8)/4)+8)="","",IF(MOD(ROW(A193)-8,4)=0, INDEX($AA:$AA, INT((ROW(A193)-8)/4)+8), ""))</f>
        <v/>
      </c>
      <c r="B193" t="str" cm="1">
        <f t="array" ref="B193">IF(INDEX($AB:$AB, INT((ROW(B193)-8)/4)+8)="","", IF(MOD(ROW(B193)-8,4)=0, INDEX($AB:$AB, INT((ROW(B193)-8)/4)+8), ""))</f>
        <v/>
      </c>
      <c r="C193" s="22"/>
      <c r="D193" s="22"/>
      <c r="E193" s="22" t="str" cm="1">
        <f t="array" ref="E193">IF(INDEX($AE:$AE, INT((ROW(E193)-8)/4)+8)="","", IF(MOD(ROW(E193)-8,4)=0, INDEX($AE:$AE, INT((ROW(E193)-8)/4)+8), IF(MOD(ROW(E193)-8,4)=3, "Total Hours", "")))</f>
        <v/>
      </c>
      <c r="F193" s="66" t="str" cm="1">
        <f t="array" aca="1" ref="F193" ca="1">IF(INDEX($AF:$AF, INT((ROW(F193)-8)/4)+8)="","",
   IF(MOD(ROW(F193)-8,4)=0,
      INDEX($AF:$AF, INT((ROW(F193)-8)/4)+8),
      IF(MOD(ROW(F193)-8,4)=3,
         SUM(OFFSET(F193,-3,0,3,1)),
      "")
   )
)</f>
        <v/>
      </c>
      <c r="G193" t="str" cm="1">
        <f t="array" ref="G193">IF(INDEX($AG:$AG, INT((ROW(G193)-8)/4)+8)="","",
   IF(MOD(ROW(G193)-8,4)=0,
      INDEX($AG:$AG, INT((ROW(G193)-8)/4)+8),
      ""
   )
)</f>
        <v/>
      </c>
    </row>
    <row r="194" spans="1:7" x14ac:dyDescent="0.25">
      <c r="A194" s="56" t="str" cm="1">
        <f t="array" ref="A194">IF(INDEX($AA:$AA, INT((ROW(A194)-8)/4)+8)="","",IF(MOD(ROW(A194)-8,4)=0, INDEX($AA:$AA, INT((ROW(A194)-8)/4)+8), ""))</f>
        <v/>
      </c>
      <c r="B194" t="str" cm="1">
        <f t="array" ref="B194">IF(INDEX($AB:$AB, INT((ROW(B194)-8)/4)+8)="","", IF(MOD(ROW(B194)-8,4)=0, INDEX($AB:$AB, INT((ROW(B194)-8)/4)+8), ""))</f>
        <v/>
      </c>
      <c r="C194" s="22"/>
      <c r="D194" s="22"/>
      <c r="E194" s="22" t="str" cm="1">
        <f t="array" ref="E194">IF(INDEX($AE:$AE, INT((ROW(E194)-8)/4)+8)="","", IF(MOD(ROW(E194)-8,4)=0, INDEX($AE:$AE, INT((ROW(E194)-8)/4)+8), IF(MOD(ROW(E194)-8,4)=3, "Total Hours", "")))</f>
        <v/>
      </c>
      <c r="F194" s="66" t="str" cm="1">
        <f t="array" aca="1" ref="F194" ca="1">IF(INDEX($AF:$AF, INT((ROW(F194)-8)/4)+8)="","",
   IF(MOD(ROW(F194)-8,4)=0,
      INDEX($AF:$AF, INT((ROW(F194)-8)/4)+8),
      IF(MOD(ROW(F194)-8,4)=3,
         SUM(OFFSET(F194,-3,0,3,1)),
      "")
   )
)</f>
        <v/>
      </c>
      <c r="G194" t="str" cm="1">
        <f t="array" ref="G194">IF(INDEX($AG:$AG, INT((ROW(G194)-8)/4)+8)="","",
   IF(MOD(ROW(G194)-8,4)=0,
      INDEX($AG:$AG, INT((ROW(G194)-8)/4)+8),
      ""
   )
)</f>
        <v/>
      </c>
    </row>
    <row r="195" spans="1:7" x14ac:dyDescent="0.25">
      <c r="A195" s="56" t="str" cm="1">
        <f t="array" ref="A195">IF(INDEX($AA:$AA, INT((ROW(A195)-8)/4)+8)="","",IF(MOD(ROW(A195)-8,4)=0, INDEX($AA:$AA, INT((ROW(A195)-8)/4)+8), ""))</f>
        <v/>
      </c>
      <c r="B195" t="str" cm="1">
        <f t="array" ref="B195">IF(INDEX($AB:$AB, INT((ROW(B195)-8)/4)+8)="","", IF(MOD(ROW(B195)-8,4)=0, INDEX($AB:$AB, INT((ROW(B195)-8)/4)+8), ""))</f>
        <v/>
      </c>
      <c r="E195" s="4"/>
      <c r="F195" s="20" t="str" cm="1">
        <f t="array" aca="1" ref="F195" ca="1">IF(INDEX($AF:$AF, INT((ROW(F195)-8)/4)+8)="","",
   IF(MOD(ROW(F195)-8,4)=0,
      INDEX($AF:$AF, INT((ROW(F195)-8)/4)+8),
      IF(MOD(ROW(F195)-8,4)=3,
         SUM(OFFSET(F195,-3,0,3,1)),
      "")
   )
)</f>
        <v/>
      </c>
      <c r="G195" t="str" cm="1">
        <f t="array" ref="G195">IF(INDEX($AG:$AG, INT((ROW(G195)-8)/4)+8)="","",
   IF(MOD(ROW(G195)-8,4)=0,
      INDEX($AG:$AG, INT((ROW(G195)-8)/4)+8),
      ""
   )
)</f>
        <v/>
      </c>
    </row>
    <row r="196" spans="1:7" x14ac:dyDescent="0.25">
      <c r="A196" s="56"/>
      <c r="B196" t="str" cm="1">
        <f t="array" ref="B196">IF(INDEX($AB:$AB, INT((ROW(B196)-8)/4)+8)="","", IF(MOD(ROW(B196)-8,4)=0, INDEX($AB:$AB, INT((ROW(B196)-8)/4)+8), ""))</f>
        <v/>
      </c>
      <c r="E196" t="str" cm="1">
        <f t="array" ref="E196">IF(INDEX($AE:$AE, INT((ROW(E196)-8)/4)+8)="","", IF(MOD(ROW(E196)-8,4)=0, INDEX($AE:$AE, INT((ROW(E196)-8)/4)+8), IF(MOD(ROW(E196)-8,4)=3, "Total Hours", "")))</f>
        <v/>
      </c>
      <c r="F196" s="20" t="str" cm="1">
        <f t="array" aca="1" ref="F196" ca="1">IF(INDEX($AF:$AF, INT((ROW(F196)-8)/4)+8)="","",
   IF(MOD(ROW(F196)-8,4)=0,
      INDEX($AF:$AF, INT((ROW(F196)-8)/4)+8),
      IF(MOD(ROW(F196)-8,4)=3,
         SUM(OFFSET(F196,-3,0,3,1)),
      "")
   )
)</f>
        <v/>
      </c>
      <c r="G196" t="str" cm="1">
        <f t="array" ref="G196">IF(INDEX($AG:$AG, INT((ROW(G196)-8)/4)+8)="","",
   IF(MOD(ROW(G196)-8,4)=0,
      INDEX($AG:$AG, INT((ROW(G196)-8)/4)+8),
      ""
   )
)</f>
        <v/>
      </c>
    </row>
    <row r="197" spans="1:7" x14ac:dyDescent="0.25">
      <c r="A197" s="56" t="str" cm="1">
        <f t="array" ref="A197">IF(INDEX($AA:$AA, INT((ROW(A197)-8)/4)+8)="","",IF(MOD(ROW(A197)-8,4)=0, INDEX($AA:$AA, INT((ROW(A197)-8)/4)+8), ""))</f>
        <v/>
      </c>
      <c r="B197" t="str" cm="1">
        <f t="array" ref="B197">IF(INDEX($AB:$AB, INT((ROW(B197)-8)/4)+8)="","", IF(MOD(ROW(B197)-8,4)=0, INDEX($AB:$AB, INT((ROW(B197)-8)/4)+8), ""))</f>
        <v/>
      </c>
      <c r="C197" s="22"/>
      <c r="D197" s="22"/>
      <c r="E197" s="22" t="str" cm="1">
        <f t="array" ref="E197">IF(INDEX($AE:$AE, INT((ROW(E197)-8)/4)+8)="","", IF(MOD(ROW(E197)-8,4)=0, INDEX($AE:$AE, INT((ROW(E197)-8)/4)+8), IF(MOD(ROW(E197)-8,4)=3, "Total Hours", "")))</f>
        <v/>
      </c>
      <c r="F197" s="66" t="str" cm="1">
        <f t="array" aca="1" ref="F197" ca="1">IF(INDEX($AF:$AF, INT((ROW(F197)-8)/4)+8)="","",
   IF(MOD(ROW(F197)-8,4)=0,
      INDEX($AF:$AF, INT((ROW(F197)-8)/4)+8),
      IF(MOD(ROW(F197)-8,4)=3,
         SUM(OFFSET(F197,-3,0,3,1)),
      "")
   )
)</f>
        <v/>
      </c>
      <c r="G197" t="str" cm="1">
        <f t="array" ref="G197">IF(INDEX($AG:$AG, INT((ROW(G197)-8)/4)+8)="","",
   IF(MOD(ROW(G197)-8,4)=0,
      INDEX($AG:$AG, INT((ROW(G197)-8)/4)+8),
      ""
   )
)</f>
        <v/>
      </c>
    </row>
    <row r="198" spans="1:7" x14ac:dyDescent="0.25">
      <c r="A198" s="56" t="str" cm="1">
        <f t="array" ref="A198">IF(INDEX($AA:$AA, INT((ROW(A198)-8)/4)+8)="","",IF(MOD(ROW(A198)-8,4)=0, INDEX($AA:$AA, INT((ROW(A198)-8)/4)+8), ""))</f>
        <v/>
      </c>
      <c r="B198" t="str" cm="1">
        <f t="array" ref="B198">IF(INDEX($AB:$AB, INT((ROW(B198)-8)/4)+8)="","", IF(MOD(ROW(B198)-8,4)=0, INDEX($AB:$AB, INT((ROW(B198)-8)/4)+8), ""))</f>
        <v/>
      </c>
      <c r="C198" s="22"/>
      <c r="D198" s="22"/>
      <c r="E198" s="22" t="str" cm="1">
        <f t="array" ref="E198">IF(INDEX($AE:$AE, INT((ROW(E198)-8)/4)+8)="","", IF(MOD(ROW(E198)-8,4)=0, INDEX($AE:$AE, INT((ROW(E198)-8)/4)+8), IF(MOD(ROW(E198)-8,4)=3, "Total Hours", "")))</f>
        <v/>
      </c>
      <c r="F198" s="66" t="str" cm="1">
        <f t="array" aca="1" ref="F198" ca="1">IF(INDEX($AF:$AF, INT((ROW(F198)-8)/4)+8)="","",
   IF(MOD(ROW(F198)-8,4)=0,
      INDEX($AF:$AF, INT((ROW(F198)-8)/4)+8),
      IF(MOD(ROW(F198)-8,4)=3,
         SUM(OFFSET(F198,-3,0,3,1)),
      "")
   )
)</f>
        <v/>
      </c>
      <c r="G198" t="str" cm="1">
        <f t="array" ref="G198">IF(INDEX($AG:$AG, INT((ROW(G198)-8)/4)+8)="","",
   IF(MOD(ROW(G198)-8,4)=0,
      INDEX($AG:$AG, INT((ROW(G198)-8)/4)+8),
      ""
   )
)</f>
        <v/>
      </c>
    </row>
    <row r="199" spans="1:7" x14ac:dyDescent="0.25">
      <c r="A199" s="56" t="str" cm="1">
        <f t="array" ref="A199">IF(INDEX($AA:$AA, INT((ROW(A199)-8)/4)+8)="","",IF(MOD(ROW(A199)-8,4)=0, INDEX($AA:$AA, INT((ROW(A199)-8)/4)+8), ""))</f>
        <v/>
      </c>
      <c r="B199" t="str" cm="1">
        <f t="array" ref="B199">IF(INDEX($AB:$AB, INT((ROW(B199)-8)/4)+8)="","", IF(MOD(ROW(B199)-8,4)=0, INDEX($AB:$AB, INT((ROW(B199)-8)/4)+8), ""))</f>
        <v/>
      </c>
      <c r="E199" s="4"/>
      <c r="F199" s="20" t="str" cm="1">
        <f t="array" aca="1" ref="F199" ca="1">IF(INDEX($AF:$AF, INT((ROW(F199)-8)/4)+8)="","",
   IF(MOD(ROW(F199)-8,4)=0,
      INDEX($AF:$AF, INT((ROW(F199)-8)/4)+8),
      IF(MOD(ROW(F199)-8,4)=3,
         SUM(OFFSET(F199,-3,0,3,1)),
      "")
   )
)</f>
        <v/>
      </c>
      <c r="G199" t="str" cm="1">
        <f t="array" ref="G199">IF(INDEX($AG:$AG, INT((ROW(G199)-8)/4)+8)="","",
   IF(MOD(ROW(G199)-8,4)=0,
      INDEX($AG:$AG, INT((ROW(G199)-8)/4)+8),
      ""
   )
)</f>
        <v/>
      </c>
    </row>
    <row r="200" spans="1:7" x14ac:dyDescent="0.25">
      <c r="A200" s="56" t="str" cm="1">
        <f t="array" ref="A200">IF(INDEX($AA:$AA, INT((ROW(A200)-8)/4)+8)="","",IF(MOD(ROW(A200)-8,4)=0, INDEX($AA:$AA, INT((ROW(A200)-8)/4)+8), ""))</f>
        <v/>
      </c>
      <c r="B200" t="str" cm="1">
        <f t="array" ref="B200">IF(INDEX($AB:$AB, INT((ROW(B200)-8)/4)+8)="","", IF(MOD(ROW(B200)-8,4)=0, INDEX($AB:$AB, INT((ROW(B200)-8)/4)+8), ""))</f>
        <v/>
      </c>
      <c r="E200" t="str" cm="1">
        <f t="array" ref="E200">IF(INDEX($AE:$AE, INT((ROW(E200)-8)/4)+8)="","", IF(MOD(ROW(E200)-8,4)=0, INDEX($AE:$AE, INT((ROW(E200)-8)/4)+8), IF(MOD(ROW(E200)-8,4)=3, "Total Hours", "")))</f>
        <v/>
      </c>
      <c r="F200" s="20" t="str" cm="1">
        <f t="array" aca="1" ref="F200" ca="1">IF(INDEX($AF:$AF, INT((ROW(F200)-8)/4)+8)="","",
   IF(MOD(ROW(F200)-8,4)=0,
      INDEX($AF:$AF, INT((ROW(F200)-8)/4)+8),
      IF(MOD(ROW(F200)-8,4)=3,
         SUM(OFFSET(F200,-3,0,3,1)),
      "")
   )
)</f>
        <v/>
      </c>
      <c r="G200" t="str" cm="1">
        <f t="array" ref="G200">IF(INDEX($AG:$AG, INT((ROW(G200)-8)/4)+8)="","",
   IF(MOD(ROW(G200)-8,4)=0,
      INDEX($AG:$AG, INT((ROW(G200)-8)/4)+8),
      ""
   )
)</f>
        <v/>
      </c>
    </row>
  </sheetData>
  <conditionalFormatting sqref="A8:A200">
    <cfRule type="expression" dxfId="13" priority="5">
      <formula>A8&lt;&gt;""</formula>
    </cfRule>
  </conditionalFormatting>
  <conditionalFormatting sqref="A8:G200">
    <cfRule type="expression" dxfId="12" priority="1">
      <formula>CELL("protect",A8)=0</formula>
    </cfRule>
    <cfRule type="expression" dxfId="11" priority="3">
      <formula>$E8="Total Hours"</formula>
    </cfRule>
  </conditionalFormatting>
  <conditionalFormatting sqref="A8:H200">
    <cfRule type="expression" dxfId="10" priority="4">
      <formula>$A8&lt;&gt;""</formula>
    </cfRule>
  </conditionalFormatting>
  <conditionalFormatting sqref="E1:E1048576">
    <cfRule type="expression" dxfId="9" priority="9">
      <formula>ISNUMBER(SEARCH("Total Hours", F2))</formula>
    </cfRule>
  </conditionalFormatting>
  <conditionalFormatting sqref="E8:E200">
    <cfRule type="expression" dxfId="8" priority="8">
      <formula>E8="Total Hours"</formula>
    </cfRule>
  </conditionalFormatting>
  <conditionalFormatting sqref="F8:F200">
    <cfRule type="expression" dxfId="7" priority="6">
      <formula>AND(ISNUMBER(F8), F8&gt;8)</formula>
    </cfRule>
    <cfRule type="expression" dxfId="6" priority="7">
      <formula>$E8="Total Hours"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0A59-75ED-40CE-82D3-7EFB14D956B7}">
  <sheetPr codeName="Sheet3"/>
  <dimension ref="A1:F34"/>
  <sheetViews>
    <sheetView workbookViewId="0">
      <selection sqref="A1:A1048576"/>
    </sheetView>
  </sheetViews>
  <sheetFormatPr defaultRowHeight="13.2" x14ac:dyDescent="0.25"/>
  <cols>
    <col min="1" max="1" width="13.44140625" bestFit="1" customWidth="1"/>
    <col min="2" max="2" width="16.5546875" bestFit="1" customWidth="1"/>
    <col min="3" max="3" width="19.88671875" bestFit="1" customWidth="1"/>
    <col min="4" max="4" width="14.77734375" bestFit="1" customWidth="1"/>
    <col min="5" max="5" width="10.109375" customWidth="1"/>
    <col min="6" max="6" width="16.44140625" style="20" bestFit="1" customWidth="1"/>
    <col min="7" max="7" width="8.44140625" bestFit="1" customWidth="1"/>
    <col min="8" max="8" width="14.88671875" customWidth="1"/>
    <col min="9" max="9" width="13.44140625" bestFit="1" customWidth="1"/>
    <col min="10" max="10" width="8.5546875" bestFit="1" customWidth="1"/>
    <col min="11" max="11" width="9.44140625" bestFit="1" customWidth="1"/>
  </cols>
  <sheetData>
    <row r="1" spans="1:6" x14ac:dyDescent="0.25">
      <c r="A1" s="4" t="s">
        <v>150</v>
      </c>
      <c r="B1" t="s">
        <v>151</v>
      </c>
      <c r="C1" t="s">
        <v>121</v>
      </c>
      <c r="D1" t="s">
        <v>122</v>
      </c>
      <c r="F1"/>
    </row>
    <row r="2" spans="1:6" x14ac:dyDescent="0.25">
      <c r="A2">
        <v>45750</v>
      </c>
      <c r="B2">
        <v>24148</v>
      </c>
      <c r="C2" t="s">
        <v>152</v>
      </c>
      <c r="D2">
        <v>2</v>
      </c>
      <c r="F2"/>
    </row>
    <row r="3" spans="1:6" x14ac:dyDescent="0.25">
      <c r="A3">
        <v>45751</v>
      </c>
      <c r="B3">
        <v>24148</v>
      </c>
      <c r="C3" t="s">
        <v>152</v>
      </c>
      <c r="D3">
        <v>2</v>
      </c>
      <c r="F3"/>
    </row>
    <row r="4" spans="1:6" x14ac:dyDescent="0.25">
      <c r="A4">
        <v>45755</v>
      </c>
      <c r="B4">
        <v>24148</v>
      </c>
      <c r="C4" t="s">
        <v>153</v>
      </c>
      <c r="D4">
        <v>8</v>
      </c>
      <c r="F4"/>
    </row>
    <row r="5" spans="1:6" x14ac:dyDescent="0.25">
      <c r="A5">
        <v>45769</v>
      </c>
      <c r="B5">
        <v>24148</v>
      </c>
      <c r="C5" t="s">
        <v>154</v>
      </c>
      <c r="D5">
        <v>2</v>
      </c>
      <c r="F5"/>
    </row>
    <row r="6" spans="1:6" x14ac:dyDescent="0.25">
      <c r="A6">
        <v>45775</v>
      </c>
      <c r="B6">
        <v>24148</v>
      </c>
      <c r="C6" t="s">
        <v>154</v>
      </c>
      <c r="D6">
        <v>3.75</v>
      </c>
      <c r="F6"/>
    </row>
    <row r="7" spans="1:6" x14ac:dyDescent="0.25">
      <c r="A7">
        <v>45799</v>
      </c>
      <c r="B7">
        <v>24148</v>
      </c>
      <c r="C7" t="s">
        <v>152</v>
      </c>
      <c r="D7">
        <v>4</v>
      </c>
      <c r="F7"/>
    </row>
    <row r="8" spans="1:6" x14ac:dyDescent="0.25">
      <c r="A8">
        <v>45806</v>
      </c>
      <c r="B8">
        <v>24148</v>
      </c>
      <c r="C8" t="s">
        <v>155</v>
      </c>
      <c r="D8">
        <v>4</v>
      </c>
      <c r="F8"/>
    </row>
    <row r="9" spans="1:6" x14ac:dyDescent="0.25">
      <c r="A9">
        <v>45811</v>
      </c>
      <c r="B9">
        <v>24148</v>
      </c>
      <c r="C9" t="s">
        <v>152</v>
      </c>
      <c r="D9">
        <v>8</v>
      </c>
      <c r="F9"/>
    </row>
    <row r="10" spans="1:6" x14ac:dyDescent="0.25">
      <c r="A10">
        <v>45819</v>
      </c>
      <c r="B10">
        <v>24148</v>
      </c>
      <c r="C10" t="s">
        <v>152</v>
      </c>
      <c r="D10">
        <v>8</v>
      </c>
      <c r="F10"/>
    </row>
    <row r="11" spans="1:6" x14ac:dyDescent="0.25">
      <c r="A11">
        <v>45827</v>
      </c>
      <c r="B11">
        <v>24148</v>
      </c>
      <c r="C11" t="s">
        <v>152</v>
      </c>
      <c r="D11">
        <v>8</v>
      </c>
      <c r="F11"/>
    </row>
    <row r="12" spans="1:6" x14ac:dyDescent="0.25">
      <c r="A12">
        <v>45828</v>
      </c>
      <c r="B12">
        <v>24148</v>
      </c>
      <c r="C12" t="s">
        <v>152</v>
      </c>
      <c r="D12">
        <v>8</v>
      </c>
      <c r="F12"/>
    </row>
    <row r="13" spans="1:6" x14ac:dyDescent="0.25">
      <c r="A13">
        <v>45831</v>
      </c>
      <c r="B13">
        <v>24148</v>
      </c>
      <c r="C13" t="s">
        <v>152</v>
      </c>
      <c r="D13">
        <v>8</v>
      </c>
      <c r="F13"/>
    </row>
    <row r="14" spans="1:6" x14ac:dyDescent="0.25">
      <c r="A14">
        <v>45832</v>
      </c>
      <c r="B14">
        <v>24148</v>
      </c>
      <c r="C14" t="s">
        <v>152</v>
      </c>
      <c r="D14">
        <v>8</v>
      </c>
      <c r="F14"/>
    </row>
    <row r="15" spans="1:6" x14ac:dyDescent="0.25">
      <c r="A15">
        <v>45833</v>
      </c>
      <c r="B15">
        <v>24148</v>
      </c>
      <c r="C15" t="s">
        <v>152</v>
      </c>
      <c r="D15">
        <v>8</v>
      </c>
      <c r="F15"/>
    </row>
    <row r="16" spans="1:6" x14ac:dyDescent="0.25">
      <c r="A16">
        <v>45834</v>
      </c>
      <c r="B16">
        <v>24148</v>
      </c>
      <c r="C16" t="s">
        <v>152</v>
      </c>
      <c r="D16">
        <v>8</v>
      </c>
      <c r="F16"/>
    </row>
    <row r="17" spans="1:6" x14ac:dyDescent="0.25">
      <c r="A17">
        <v>45835</v>
      </c>
      <c r="B17">
        <v>24148</v>
      </c>
      <c r="C17" t="s">
        <v>152</v>
      </c>
      <c r="D17">
        <v>8</v>
      </c>
      <c r="F17"/>
    </row>
    <row r="18" spans="1:6" x14ac:dyDescent="0.25">
      <c r="A18">
        <v>45838</v>
      </c>
      <c r="B18">
        <v>24148</v>
      </c>
      <c r="C18" t="s">
        <v>152</v>
      </c>
      <c r="D18">
        <v>8</v>
      </c>
      <c r="F18"/>
    </row>
    <row r="19" spans="1:6" x14ac:dyDescent="0.25">
      <c r="A19">
        <v>45840</v>
      </c>
      <c r="B19">
        <v>24148</v>
      </c>
      <c r="C19" t="s">
        <v>152</v>
      </c>
      <c r="D19">
        <v>8</v>
      </c>
      <c r="F19"/>
    </row>
    <row r="20" spans="1:6" x14ac:dyDescent="0.25">
      <c r="A20">
        <v>45841</v>
      </c>
      <c r="B20">
        <v>24148</v>
      </c>
      <c r="C20" t="s">
        <v>152</v>
      </c>
      <c r="D20">
        <v>8</v>
      </c>
      <c r="F20"/>
    </row>
    <row r="21" spans="1:6" x14ac:dyDescent="0.25">
      <c r="A21">
        <v>45842</v>
      </c>
      <c r="B21">
        <v>24148</v>
      </c>
      <c r="C21" t="s">
        <v>152</v>
      </c>
      <c r="D21">
        <v>8</v>
      </c>
      <c r="F21"/>
    </row>
    <row r="22" spans="1:6" x14ac:dyDescent="0.25">
      <c r="A22">
        <v>45856</v>
      </c>
      <c r="B22">
        <v>24148</v>
      </c>
      <c r="C22" t="s">
        <v>154</v>
      </c>
      <c r="D22">
        <v>3.75</v>
      </c>
      <c r="F22"/>
    </row>
    <row r="23" spans="1:6" x14ac:dyDescent="0.25">
      <c r="A23">
        <v>45861</v>
      </c>
      <c r="B23">
        <v>24148</v>
      </c>
      <c r="C23" t="s">
        <v>156</v>
      </c>
      <c r="D23">
        <v>3.75</v>
      </c>
      <c r="F23"/>
    </row>
    <row r="24" spans="1:6" x14ac:dyDescent="0.25">
      <c r="A24">
        <v>45889</v>
      </c>
      <c r="B24">
        <v>24148</v>
      </c>
      <c r="C24" t="s">
        <v>156</v>
      </c>
      <c r="D24">
        <v>8</v>
      </c>
      <c r="F24"/>
    </row>
    <row r="25" spans="1:6" x14ac:dyDescent="0.25">
      <c r="A25">
        <v>45903</v>
      </c>
      <c r="B25">
        <v>24148</v>
      </c>
      <c r="C25" t="s">
        <v>156</v>
      </c>
      <c r="D25">
        <v>8</v>
      </c>
      <c r="F25"/>
    </row>
    <row r="26" spans="1:6" x14ac:dyDescent="0.25">
      <c r="A26">
        <v>45905</v>
      </c>
      <c r="B26">
        <v>24148</v>
      </c>
      <c r="C26" t="s">
        <v>156</v>
      </c>
      <c r="D26">
        <v>3.75</v>
      </c>
      <c r="F26"/>
    </row>
    <row r="27" spans="1:6" x14ac:dyDescent="0.25">
      <c r="A27">
        <v>45909</v>
      </c>
      <c r="B27">
        <v>24148</v>
      </c>
      <c r="C27" t="s">
        <v>152</v>
      </c>
      <c r="D27">
        <v>8</v>
      </c>
      <c r="F27"/>
    </row>
    <row r="28" spans="1:6" x14ac:dyDescent="0.25">
      <c r="A28">
        <v>45915</v>
      </c>
      <c r="B28">
        <v>24148</v>
      </c>
      <c r="C28" t="s">
        <v>154</v>
      </c>
      <c r="D28">
        <v>3.75</v>
      </c>
      <c r="F28"/>
    </row>
    <row r="29" spans="1:6" x14ac:dyDescent="0.25">
      <c r="A29">
        <v>45926</v>
      </c>
      <c r="B29">
        <v>24148</v>
      </c>
      <c r="C29" t="s">
        <v>152</v>
      </c>
      <c r="D29">
        <v>8</v>
      </c>
      <c r="F29"/>
    </row>
    <row r="30" spans="1:6" x14ac:dyDescent="0.25">
      <c r="A30">
        <v>45933</v>
      </c>
      <c r="B30">
        <v>24148</v>
      </c>
      <c r="C30" t="s">
        <v>156</v>
      </c>
      <c r="D30">
        <v>1</v>
      </c>
      <c r="F30"/>
    </row>
    <row r="31" spans="1:6" x14ac:dyDescent="0.25">
      <c r="A31">
        <v>45952</v>
      </c>
      <c r="B31">
        <v>24148</v>
      </c>
      <c r="C31" t="s">
        <v>156</v>
      </c>
      <c r="D31">
        <v>4.25</v>
      </c>
      <c r="F31"/>
    </row>
    <row r="32" spans="1:6" x14ac:dyDescent="0.25">
      <c r="A32">
        <v>45960</v>
      </c>
      <c r="B32">
        <v>24148</v>
      </c>
      <c r="C32" t="s">
        <v>156</v>
      </c>
      <c r="D32">
        <v>1.25</v>
      </c>
      <c r="F32"/>
    </row>
    <row r="33" spans="6:6" x14ac:dyDescent="0.25">
      <c r="F33"/>
    </row>
    <row r="34" spans="6:6" x14ac:dyDescent="0.25">
      <c r="F34"/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 summaryRight="0"/>
  </sheetPr>
  <dimension ref="A1:G978"/>
  <sheetViews>
    <sheetView workbookViewId="0">
      <selection activeCell="C2" sqref="C2"/>
    </sheetView>
  </sheetViews>
  <sheetFormatPr defaultColWidth="12.6640625" defaultRowHeight="15" customHeight="1" x14ac:dyDescent="0.25"/>
  <cols>
    <col min="1" max="1" width="12.88671875" bestFit="1" customWidth="1"/>
    <col min="2" max="2" width="19.33203125" bestFit="1" customWidth="1"/>
    <col min="3" max="3" width="16" bestFit="1" customWidth="1"/>
    <col min="4" max="4" width="18.88671875" bestFit="1" customWidth="1"/>
    <col min="5" max="5" width="19.21875" bestFit="1" customWidth="1"/>
    <col min="6" max="6" width="14.21875" bestFit="1" customWidth="1"/>
    <col min="7" max="7" width="10.109375" bestFit="1" customWidth="1"/>
    <col min="8" max="8" width="19.6640625" bestFit="1" customWidth="1"/>
    <col min="9" max="9" width="10.33203125" bestFit="1" customWidth="1"/>
    <col min="10" max="10" width="20.33203125" bestFit="1" customWidth="1"/>
    <col min="11" max="11" width="14.109375" bestFit="1" customWidth="1"/>
    <col min="12" max="12" width="8.44140625" bestFit="1" customWidth="1"/>
    <col min="13" max="30" width="14.33203125" customWidth="1"/>
  </cols>
  <sheetData>
    <row r="1" spans="1:6" ht="13.2" x14ac:dyDescent="0.25">
      <c r="A1" t="s">
        <v>157</v>
      </c>
      <c r="B1" t="s">
        <v>158</v>
      </c>
      <c r="C1" t="s">
        <v>159</v>
      </c>
      <c r="D1" t="s">
        <v>160</v>
      </c>
      <c r="E1" t="s">
        <v>123</v>
      </c>
      <c r="F1" t="s">
        <v>124</v>
      </c>
    </row>
    <row r="2" spans="1:6" ht="13.2" x14ac:dyDescent="0.25">
      <c r="A2" s="3">
        <v>45755</v>
      </c>
      <c r="B2" t="s">
        <v>22</v>
      </c>
      <c r="C2">
        <v>24148</v>
      </c>
      <c r="D2" t="s">
        <v>23</v>
      </c>
      <c r="E2" t="s">
        <v>152</v>
      </c>
      <c r="F2">
        <v>8</v>
      </c>
    </row>
    <row r="3" spans="1:6" ht="13.2" x14ac:dyDescent="0.25">
      <c r="A3" s="3">
        <v>45775</v>
      </c>
      <c r="B3" t="s">
        <v>22</v>
      </c>
      <c r="C3">
        <v>24148</v>
      </c>
      <c r="D3" t="s">
        <v>23</v>
      </c>
      <c r="E3" t="s">
        <v>152</v>
      </c>
      <c r="F3">
        <v>3.75</v>
      </c>
    </row>
    <row r="4" spans="1:6" ht="13.2" x14ac:dyDescent="0.25">
      <c r="A4" s="3">
        <v>45811</v>
      </c>
      <c r="B4" t="s">
        <v>22</v>
      </c>
      <c r="C4">
        <v>24148</v>
      </c>
      <c r="D4" t="s">
        <v>23</v>
      </c>
      <c r="E4" t="s">
        <v>152</v>
      </c>
      <c r="F4">
        <v>8</v>
      </c>
    </row>
    <row r="5" spans="1:6" ht="13.2" x14ac:dyDescent="0.25">
      <c r="A5" s="3">
        <v>45819</v>
      </c>
      <c r="B5" t="s">
        <v>22</v>
      </c>
      <c r="C5">
        <v>24148</v>
      </c>
      <c r="D5" t="s">
        <v>46</v>
      </c>
      <c r="E5" t="s">
        <v>153</v>
      </c>
      <c r="F5">
        <v>8</v>
      </c>
    </row>
    <row r="6" spans="1:6" ht="13.2" x14ac:dyDescent="0.25">
      <c r="A6" s="3">
        <v>45827</v>
      </c>
      <c r="B6" t="s">
        <v>22</v>
      </c>
      <c r="C6">
        <v>24148</v>
      </c>
      <c r="D6" t="s">
        <v>23</v>
      </c>
      <c r="E6" t="s">
        <v>152</v>
      </c>
      <c r="F6">
        <v>8</v>
      </c>
    </row>
    <row r="7" spans="1:6" ht="13.2" x14ac:dyDescent="0.25">
      <c r="A7" s="3">
        <v>45828</v>
      </c>
      <c r="B7" t="s">
        <v>22</v>
      </c>
      <c r="C7">
        <v>24148</v>
      </c>
      <c r="D7" t="s">
        <v>23</v>
      </c>
      <c r="E7" t="s">
        <v>152</v>
      </c>
      <c r="F7">
        <v>8</v>
      </c>
    </row>
    <row r="8" spans="1:6" ht="13.2" x14ac:dyDescent="0.25">
      <c r="A8" s="3">
        <v>45831</v>
      </c>
      <c r="B8" t="s">
        <v>22</v>
      </c>
      <c r="C8">
        <v>24148</v>
      </c>
      <c r="D8" t="s">
        <v>23</v>
      </c>
      <c r="E8" t="s">
        <v>152</v>
      </c>
      <c r="F8">
        <v>8</v>
      </c>
    </row>
    <row r="9" spans="1:6" ht="13.2" x14ac:dyDescent="0.25">
      <c r="A9" s="3">
        <v>45832</v>
      </c>
      <c r="B9" t="s">
        <v>22</v>
      </c>
      <c r="C9">
        <v>24148</v>
      </c>
      <c r="D9" t="s">
        <v>23</v>
      </c>
      <c r="E9" t="s">
        <v>152</v>
      </c>
      <c r="F9">
        <v>8</v>
      </c>
    </row>
    <row r="10" spans="1:6" ht="13.2" x14ac:dyDescent="0.25">
      <c r="A10" s="3">
        <v>45833</v>
      </c>
      <c r="B10" t="s">
        <v>22</v>
      </c>
      <c r="C10">
        <v>24148</v>
      </c>
      <c r="D10" t="s">
        <v>23</v>
      </c>
      <c r="E10" t="s">
        <v>152</v>
      </c>
      <c r="F10">
        <v>8</v>
      </c>
    </row>
    <row r="11" spans="1:6" ht="13.2" x14ac:dyDescent="0.25">
      <c r="A11" s="3">
        <v>45834</v>
      </c>
      <c r="B11" t="s">
        <v>22</v>
      </c>
      <c r="C11">
        <v>24148</v>
      </c>
      <c r="D11" t="s">
        <v>23</v>
      </c>
      <c r="E11" t="s">
        <v>152</v>
      </c>
      <c r="F11">
        <v>8</v>
      </c>
    </row>
    <row r="12" spans="1:6" ht="13.2" x14ac:dyDescent="0.25">
      <c r="A12" s="3">
        <v>45835</v>
      </c>
      <c r="B12" t="s">
        <v>22</v>
      </c>
      <c r="C12">
        <v>24148</v>
      </c>
      <c r="D12" t="s">
        <v>23</v>
      </c>
      <c r="E12" t="s">
        <v>152</v>
      </c>
      <c r="F12">
        <v>8</v>
      </c>
    </row>
    <row r="13" spans="1:6" ht="13.2" x14ac:dyDescent="0.25">
      <c r="A13" s="3">
        <v>45838</v>
      </c>
      <c r="B13" t="s">
        <v>22</v>
      </c>
      <c r="C13">
        <v>24148</v>
      </c>
      <c r="D13" t="s">
        <v>23</v>
      </c>
      <c r="E13" t="s">
        <v>152</v>
      </c>
      <c r="F13">
        <v>8</v>
      </c>
    </row>
    <row r="14" spans="1:6" ht="13.2" x14ac:dyDescent="0.25">
      <c r="A14" s="3">
        <v>45840</v>
      </c>
      <c r="B14" t="s">
        <v>22</v>
      </c>
      <c r="C14">
        <v>24148</v>
      </c>
      <c r="D14" t="s">
        <v>23</v>
      </c>
      <c r="E14" t="s">
        <v>152</v>
      </c>
      <c r="F14">
        <v>8</v>
      </c>
    </row>
    <row r="15" spans="1:6" ht="13.2" x14ac:dyDescent="0.25">
      <c r="A15" s="3">
        <v>45841</v>
      </c>
      <c r="B15" t="s">
        <v>22</v>
      </c>
      <c r="C15">
        <v>24148</v>
      </c>
      <c r="D15" t="s">
        <v>23</v>
      </c>
      <c r="E15" t="s">
        <v>152</v>
      </c>
      <c r="F15">
        <v>8</v>
      </c>
    </row>
    <row r="16" spans="1:6" ht="13.2" x14ac:dyDescent="0.25">
      <c r="A16" s="3">
        <v>45842</v>
      </c>
      <c r="B16" t="s">
        <v>22</v>
      </c>
      <c r="C16">
        <v>24148</v>
      </c>
      <c r="D16" t="s">
        <v>23</v>
      </c>
      <c r="E16" t="s">
        <v>152</v>
      </c>
      <c r="F16">
        <v>8</v>
      </c>
    </row>
    <row r="17" spans="1:7" ht="13.2" x14ac:dyDescent="0.25">
      <c r="A17" s="3">
        <v>45889</v>
      </c>
      <c r="B17" t="s">
        <v>22</v>
      </c>
      <c r="C17">
        <v>24148</v>
      </c>
      <c r="D17" t="s">
        <v>41</v>
      </c>
      <c r="E17" t="s">
        <v>156</v>
      </c>
      <c r="F17">
        <v>8</v>
      </c>
    </row>
    <row r="18" spans="1:7" ht="13.2" x14ac:dyDescent="0.25">
      <c r="A18" s="3">
        <v>45903</v>
      </c>
      <c r="B18" t="s">
        <v>22</v>
      </c>
      <c r="C18">
        <v>24148</v>
      </c>
      <c r="D18" t="s">
        <v>41</v>
      </c>
      <c r="E18" t="s">
        <v>156</v>
      </c>
      <c r="F18">
        <v>8</v>
      </c>
    </row>
    <row r="19" spans="1:7" ht="13.2" x14ac:dyDescent="0.25">
      <c r="A19" s="3">
        <v>45909</v>
      </c>
      <c r="B19" t="s">
        <v>22</v>
      </c>
      <c r="C19">
        <v>24148</v>
      </c>
      <c r="D19" t="s">
        <v>23</v>
      </c>
      <c r="E19" t="s">
        <v>152</v>
      </c>
      <c r="F19">
        <v>8</v>
      </c>
    </row>
    <row r="20" spans="1:7" ht="13.2" x14ac:dyDescent="0.25">
      <c r="A20" s="3">
        <v>45926</v>
      </c>
      <c r="B20" t="s">
        <v>22</v>
      </c>
      <c r="C20">
        <v>24148</v>
      </c>
      <c r="D20" t="s">
        <v>23</v>
      </c>
      <c r="E20" t="s">
        <v>152</v>
      </c>
      <c r="F20">
        <v>8</v>
      </c>
    </row>
    <row r="21" spans="1:7" ht="13.2" x14ac:dyDescent="0.25">
      <c r="A21" s="3">
        <v>45952</v>
      </c>
      <c r="B21" t="s">
        <v>22</v>
      </c>
      <c r="C21">
        <v>24148</v>
      </c>
      <c r="D21" t="s">
        <v>41</v>
      </c>
      <c r="E21" t="s">
        <v>156</v>
      </c>
      <c r="F21">
        <v>4.25</v>
      </c>
    </row>
    <row r="22" spans="1:7" ht="13.2" x14ac:dyDescent="0.25">
      <c r="A22" s="3">
        <v>45960</v>
      </c>
      <c r="B22" t="s">
        <v>22</v>
      </c>
      <c r="C22">
        <v>24148</v>
      </c>
      <c r="D22" t="s">
        <v>41</v>
      </c>
      <c r="E22" t="s">
        <v>156</v>
      </c>
      <c r="F22">
        <v>1.25</v>
      </c>
    </row>
    <row r="23" spans="1:7" ht="13.2" x14ac:dyDescent="0.25"/>
    <row r="24" spans="1:7" ht="13.2" x14ac:dyDescent="0.25"/>
    <row r="25" spans="1:7" ht="13.2" x14ac:dyDescent="0.25"/>
    <row r="26" spans="1:7" ht="15.75" customHeight="1" x14ac:dyDescent="0.25">
      <c r="G26" s="2"/>
    </row>
    <row r="27" spans="1:7" ht="15.75" customHeight="1" x14ac:dyDescent="0.25">
      <c r="G27" s="2"/>
    </row>
    <row r="28" spans="1:7" ht="15.75" customHeight="1" x14ac:dyDescent="0.25">
      <c r="G28" s="2"/>
    </row>
    <row r="29" spans="1:7" ht="15.75" customHeight="1" x14ac:dyDescent="0.25">
      <c r="G29" s="2"/>
    </row>
    <row r="30" spans="1:7" ht="15.75" customHeight="1" x14ac:dyDescent="0.25">
      <c r="G30" s="2"/>
    </row>
    <row r="31" spans="1:7" ht="15.75" customHeight="1" x14ac:dyDescent="0.25">
      <c r="G31" s="2"/>
    </row>
    <row r="32" spans="1:7" ht="15.75" customHeight="1" x14ac:dyDescent="0.25">
      <c r="G32" s="2"/>
    </row>
    <row r="33" spans="7:7" ht="15.75" customHeight="1" x14ac:dyDescent="0.25">
      <c r="G33" s="2"/>
    </row>
    <row r="34" spans="7:7" ht="15.75" customHeight="1" x14ac:dyDescent="0.25">
      <c r="G34" s="2"/>
    </row>
    <row r="35" spans="7:7" ht="15.75" customHeight="1" x14ac:dyDescent="0.25">
      <c r="G35" s="2"/>
    </row>
    <row r="36" spans="7:7" ht="15.75" customHeight="1" x14ac:dyDescent="0.25">
      <c r="G36" s="2"/>
    </row>
    <row r="37" spans="7:7" ht="15.75" customHeight="1" x14ac:dyDescent="0.25">
      <c r="G37" s="2"/>
    </row>
    <row r="38" spans="7:7" ht="15.75" customHeight="1" x14ac:dyDescent="0.25">
      <c r="G38" s="2"/>
    </row>
    <row r="39" spans="7:7" ht="15.75" customHeight="1" x14ac:dyDescent="0.25">
      <c r="G39" s="2"/>
    </row>
    <row r="40" spans="7:7" ht="15.75" customHeight="1" x14ac:dyDescent="0.25">
      <c r="G40" s="2"/>
    </row>
    <row r="41" spans="7:7" ht="15.75" customHeight="1" x14ac:dyDescent="0.25">
      <c r="G41" s="2"/>
    </row>
    <row r="42" spans="7:7" ht="15.75" customHeight="1" x14ac:dyDescent="0.25">
      <c r="G42" s="2"/>
    </row>
    <row r="43" spans="7:7" ht="15.75" customHeight="1" x14ac:dyDescent="0.25">
      <c r="G43" s="2"/>
    </row>
    <row r="44" spans="7:7" ht="15.75" customHeight="1" x14ac:dyDescent="0.25">
      <c r="G44" s="2"/>
    </row>
    <row r="45" spans="7:7" ht="15.75" customHeight="1" x14ac:dyDescent="0.25">
      <c r="G45" s="2"/>
    </row>
    <row r="46" spans="7:7" ht="15.75" customHeight="1" x14ac:dyDescent="0.25">
      <c r="G46" s="2"/>
    </row>
    <row r="47" spans="7:7" ht="15.75" customHeight="1" x14ac:dyDescent="0.25">
      <c r="G47" s="2"/>
    </row>
    <row r="48" spans="7:7" ht="15.75" customHeight="1" x14ac:dyDescent="0.25">
      <c r="G48" s="2"/>
    </row>
    <row r="49" spans="7:7" ht="15.75" customHeight="1" x14ac:dyDescent="0.25">
      <c r="G49" s="2"/>
    </row>
    <row r="50" spans="7:7" ht="15.75" customHeight="1" x14ac:dyDescent="0.25">
      <c r="G50" s="2"/>
    </row>
    <row r="51" spans="7:7" ht="15.75" customHeight="1" x14ac:dyDescent="0.25">
      <c r="G51" s="2"/>
    </row>
    <row r="52" spans="7:7" ht="15.75" customHeight="1" x14ac:dyDescent="0.25">
      <c r="G52" s="2"/>
    </row>
    <row r="53" spans="7:7" ht="15.75" customHeight="1" x14ac:dyDescent="0.25">
      <c r="G53" s="2"/>
    </row>
    <row r="54" spans="7:7" ht="15.75" customHeight="1" x14ac:dyDescent="0.25">
      <c r="G54" s="2"/>
    </row>
    <row r="55" spans="7:7" ht="15.75" customHeight="1" x14ac:dyDescent="0.25">
      <c r="G55" s="2"/>
    </row>
    <row r="56" spans="7:7" ht="15.75" customHeight="1" x14ac:dyDescent="0.25">
      <c r="G56" s="2"/>
    </row>
    <row r="57" spans="7:7" ht="15.75" customHeight="1" x14ac:dyDescent="0.25">
      <c r="G57" s="2"/>
    </row>
    <row r="58" spans="7:7" ht="15.75" customHeight="1" x14ac:dyDescent="0.25">
      <c r="G58" s="2"/>
    </row>
    <row r="59" spans="7:7" ht="15.75" customHeight="1" x14ac:dyDescent="0.25">
      <c r="G59" s="2"/>
    </row>
    <row r="60" spans="7:7" ht="15.75" customHeight="1" x14ac:dyDescent="0.25">
      <c r="G60" s="2"/>
    </row>
    <row r="61" spans="7:7" ht="15.75" customHeight="1" x14ac:dyDescent="0.25">
      <c r="G61" s="2"/>
    </row>
    <row r="62" spans="7:7" ht="15.75" customHeight="1" x14ac:dyDescent="0.25">
      <c r="G62" s="2"/>
    </row>
    <row r="63" spans="7:7" ht="15.75" customHeight="1" x14ac:dyDescent="0.25">
      <c r="G63" s="2"/>
    </row>
    <row r="64" spans="7:7" ht="15.75" customHeight="1" x14ac:dyDescent="0.25">
      <c r="G64" s="2"/>
    </row>
    <row r="65" spans="7:7" ht="15.75" customHeight="1" x14ac:dyDescent="0.25">
      <c r="G65" s="2"/>
    </row>
    <row r="66" spans="7:7" ht="15.75" customHeight="1" x14ac:dyDescent="0.25">
      <c r="G66" s="2"/>
    </row>
    <row r="67" spans="7:7" ht="15.75" customHeight="1" x14ac:dyDescent="0.25">
      <c r="G67" s="2"/>
    </row>
    <row r="68" spans="7:7" ht="15.75" customHeight="1" x14ac:dyDescent="0.25">
      <c r="G68" s="2"/>
    </row>
    <row r="69" spans="7:7" ht="15.75" customHeight="1" x14ac:dyDescent="0.25">
      <c r="G69" s="2"/>
    </row>
    <row r="70" spans="7:7" ht="15.75" customHeight="1" x14ac:dyDescent="0.25">
      <c r="G70" s="2"/>
    </row>
    <row r="71" spans="7:7" ht="15.75" customHeight="1" x14ac:dyDescent="0.25">
      <c r="G71" s="2"/>
    </row>
    <row r="72" spans="7:7" ht="15.75" customHeight="1" x14ac:dyDescent="0.25">
      <c r="G72" s="2"/>
    </row>
    <row r="73" spans="7:7" ht="15.75" customHeight="1" x14ac:dyDescent="0.25">
      <c r="G73" s="2"/>
    </row>
    <row r="74" spans="7:7" ht="15.75" customHeight="1" x14ac:dyDescent="0.25">
      <c r="G74" s="2"/>
    </row>
    <row r="75" spans="7:7" ht="15.75" customHeight="1" x14ac:dyDescent="0.25">
      <c r="G75" s="2"/>
    </row>
    <row r="76" spans="7:7" ht="15.75" customHeight="1" x14ac:dyDescent="0.25">
      <c r="G76" s="2"/>
    </row>
    <row r="77" spans="7:7" ht="15.75" customHeight="1" x14ac:dyDescent="0.25">
      <c r="G77" s="2"/>
    </row>
    <row r="78" spans="7:7" ht="15.75" customHeight="1" x14ac:dyDescent="0.25">
      <c r="G78" s="2"/>
    </row>
    <row r="79" spans="7:7" ht="15.75" customHeight="1" x14ac:dyDescent="0.25"/>
    <row r="80" spans="7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7ED0-8E9E-45F8-9CF4-DC4F95C46185}">
  <sheetPr codeName="Sheet5"/>
  <dimension ref="A1:Z40"/>
  <sheetViews>
    <sheetView workbookViewId="0">
      <selection activeCell="F2" sqref="F2"/>
    </sheetView>
  </sheetViews>
  <sheetFormatPr defaultRowHeight="13.2" x14ac:dyDescent="0.25"/>
  <cols>
    <col min="1" max="1" width="21.5546875" customWidth="1"/>
    <col min="2" max="2" width="17.5546875" customWidth="1"/>
    <col min="5" max="5" width="6.109375" customWidth="1"/>
    <col min="6" max="6" width="11.88671875" customWidth="1"/>
  </cols>
  <sheetData>
    <row r="1" spans="1:26" ht="17.399999999999999" x14ac:dyDescent="0.3">
      <c r="A1" t="s">
        <v>161</v>
      </c>
      <c r="B1" t="s">
        <v>162</v>
      </c>
      <c r="F1" s="14">
        <f ca="1">F2 -1</f>
        <v>2024</v>
      </c>
      <c r="H1" s="4"/>
    </row>
    <row r="2" spans="1:26" ht="21" x14ac:dyDescent="0.4">
      <c r="A2" s="3">
        <f ca="1">DATE(F1,1,1)</f>
        <v>45292</v>
      </c>
      <c r="B2" t="s">
        <v>163</v>
      </c>
      <c r="D2" s="15" t="s">
        <v>164</v>
      </c>
      <c r="E2" s="11"/>
      <c r="F2" s="13">
        <f ca="1">YEAR(TODAY())</f>
        <v>2025</v>
      </c>
      <c r="Z2" s="21">
        <f ca="1">YEAR(TODAY())+ROW(A1)-5</f>
        <v>2021</v>
      </c>
    </row>
    <row r="3" spans="1:26" x14ac:dyDescent="0.25">
      <c r="A3" s="3">
        <f ca="1">DATE(F1,7,1)</f>
        <v>45474</v>
      </c>
      <c r="B3" t="s">
        <v>165</v>
      </c>
      <c r="E3" s="3"/>
      <c r="F3" s="12">
        <f ca="1">F2+1</f>
        <v>2026</v>
      </c>
      <c r="Z3" s="21">
        <f ca="1">YEAR(TODAY())+ROW(A1)-4</f>
        <v>2022</v>
      </c>
    </row>
    <row r="4" spans="1:26" x14ac:dyDescent="0.25">
      <c r="A4" s="3">
        <f ca="1">DATE(F1,12,25)</f>
        <v>45651</v>
      </c>
      <c r="B4" t="s">
        <v>166</v>
      </c>
      <c r="Z4" s="21">
        <f ca="1">YEAR(TODAY())+ROW(A1)-3</f>
        <v>2023</v>
      </c>
    </row>
    <row r="5" spans="1:26" x14ac:dyDescent="0.25">
      <c r="A5" s="3">
        <f ca="1">DATE(F1,12,26)</f>
        <v>45652</v>
      </c>
      <c r="B5" t="s">
        <v>167</v>
      </c>
      <c r="Z5" s="21">
        <f ca="1">YEAR(TODAY())+ROW(A1)-2</f>
        <v>2024</v>
      </c>
    </row>
    <row r="6" spans="1:26" x14ac:dyDescent="0.25">
      <c r="A6">
        <f ca="1">A7-2</f>
        <v>45380</v>
      </c>
      <c r="B6" t="s">
        <v>168</v>
      </c>
      <c r="Z6" s="21">
        <f ca="1">YEAR(TODAY())+ROW(A1)-1</f>
        <v>2025</v>
      </c>
    </row>
    <row r="7" spans="1:26" x14ac:dyDescent="0.25">
      <c r="A7">
        <f ca="1">ROUND(DATE(F1,4,MOD(234-11*MOD(F1,19),30))/7,0)*7-6</f>
        <v>45382</v>
      </c>
      <c r="B7" t="s">
        <v>169</v>
      </c>
      <c r="Z7" s="21">
        <f ca="1">YEAR(TODAY())+ROW(A1)</f>
        <v>2026</v>
      </c>
    </row>
    <row r="8" spans="1:26" x14ac:dyDescent="0.25">
      <c r="A8">
        <f ca="1">A7+1</f>
        <v>45383</v>
      </c>
      <c r="B8" t="s">
        <v>170</v>
      </c>
      <c r="Z8" s="21">
        <f ca="1">YEAR(TODAY())+ROW(A1)+1</f>
        <v>2027</v>
      </c>
    </row>
    <row r="9" spans="1:26" x14ac:dyDescent="0.25">
      <c r="A9" s="3">
        <f ca="1">DATE(F1,5,25)-WEEKDAY(DATE(F1,5,25))</f>
        <v>45430</v>
      </c>
      <c r="B9" t="s">
        <v>171</v>
      </c>
      <c r="Z9" s="21">
        <f ca="1">YEAR(TODAY())+ROW(A1)+2</f>
        <v>2028</v>
      </c>
    </row>
    <row r="10" spans="1:26" x14ac:dyDescent="0.25">
      <c r="A10" s="3">
        <f ca="1">DATE(F1,9,8)-WEEKDAY(DATE(F1,9,6))</f>
        <v>45537</v>
      </c>
      <c r="B10" t="s">
        <v>172</v>
      </c>
      <c r="Z10" s="21">
        <f ca="1">YEAR(TODAY())+ROW(A1)+3</f>
        <v>2029</v>
      </c>
    </row>
    <row r="11" spans="1:26" x14ac:dyDescent="0.25">
      <c r="A11" s="3">
        <f ca="1">DATE(F1,10,1)+CHOOSE(WEEKDAY(DATE(F1,10,1)),8,7,6,5,4,3,2)</f>
        <v>45572</v>
      </c>
      <c r="B11" t="s">
        <v>173</v>
      </c>
      <c r="Z11" s="21">
        <f ca="1">YEAR(TODAY())+ROW(A1)+4</f>
        <v>2030</v>
      </c>
    </row>
    <row r="12" spans="1:26" x14ac:dyDescent="0.25">
      <c r="A12" s="3">
        <f ca="1">DATE(F1,9,30)</f>
        <v>45565</v>
      </c>
      <c r="B12" t="s">
        <v>174</v>
      </c>
      <c r="Z12" s="21">
        <f ca="1">YEAR(TODAY())+ROW(A1)+5</f>
        <v>2031</v>
      </c>
    </row>
    <row r="13" spans="1:26" x14ac:dyDescent="0.25">
      <c r="A13" s="3">
        <f ca="1">DATE(F1,11,11)</f>
        <v>45607</v>
      </c>
      <c r="B13" t="s">
        <v>175</v>
      </c>
      <c r="Z13" s="21">
        <f ca="1">YEAR(TODAY())+ROW(A1)+6</f>
        <v>2032</v>
      </c>
    </row>
    <row r="14" spans="1:26" x14ac:dyDescent="0.25">
      <c r="A14" s="3">
        <f ca="1">DATE(F1,8,8)-WEEKDAY(DATE(F1,8,6))</f>
        <v>45509</v>
      </c>
      <c r="B14" t="s">
        <v>176</v>
      </c>
      <c r="Z14" s="21">
        <f ca="1">YEAR(TODAY())+ROW(A1)+7</f>
        <v>2033</v>
      </c>
    </row>
    <row r="15" spans="1:26" x14ac:dyDescent="0.25">
      <c r="A15" s="3">
        <f ca="1">DATE(F2,1,1)</f>
        <v>45658</v>
      </c>
      <c r="B15" t="s">
        <v>163</v>
      </c>
      <c r="Z15" s="21">
        <f ca="1">YEAR(TODAY())+ROW(A1)+8</f>
        <v>2034</v>
      </c>
    </row>
    <row r="16" spans="1:26" x14ac:dyDescent="0.25">
      <c r="A16" s="3">
        <f ca="1">DATE(F2,7,1)</f>
        <v>45839</v>
      </c>
      <c r="B16" t="s">
        <v>165</v>
      </c>
      <c r="Z16" s="21">
        <f ca="1">YEAR(TODAY())+ROW(A1)+9</f>
        <v>2035</v>
      </c>
    </row>
    <row r="17" spans="1:26" x14ac:dyDescent="0.25">
      <c r="A17" s="3">
        <f ca="1">DATE(F2,12,25)</f>
        <v>46016</v>
      </c>
      <c r="B17" t="s">
        <v>166</v>
      </c>
      <c r="Z17" s="21">
        <f ca="1">YEAR(TODAY())+ROW(A1)+10</f>
        <v>2036</v>
      </c>
    </row>
    <row r="18" spans="1:26" x14ac:dyDescent="0.25">
      <c r="A18" s="3">
        <f ca="1">DATE(F2,12,26)</f>
        <v>46017</v>
      </c>
      <c r="B18" t="s">
        <v>167</v>
      </c>
      <c r="Z18" s="21">
        <f ca="1">YEAR(TODAY())+ROW(A1)+11</f>
        <v>2037</v>
      </c>
    </row>
    <row r="19" spans="1:26" x14ac:dyDescent="0.25">
      <c r="A19">
        <f ca="1">A20-2</f>
        <v>45765</v>
      </c>
      <c r="B19" t="s">
        <v>168</v>
      </c>
      <c r="Z19" s="21">
        <f ca="1">YEAR(TODAY())+ROW(A1)+12</f>
        <v>2038</v>
      </c>
    </row>
    <row r="20" spans="1:26" x14ac:dyDescent="0.25">
      <c r="A20">
        <f ca="1">ROUND(DATE(F2,4,MOD(234-11*MOD(F2,19),30))/7,0)*7-6</f>
        <v>45767</v>
      </c>
      <c r="B20" t="s">
        <v>169</v>
      </c>
      <c r="Z20" s="21"/>
    </row>
    <row r="21" spans="1:26" x14ac:dyDescent="0.25">
      <c r="A21">
        <f ca="1">A20+1</f>
        <v>45768</v>
      </c>
      <c r="B21" t="s">
        <v>170</v>
      </c>
      <c r="Z21" s="21"/>
    </row>
    <row r="22" spans="1:26" x14ac:dyDescent="0.25">
      <c r="A22" s="3">
        <f ca="1">DATE(F2,5,25)-WEEKDAY(DATE(F2,5,25))</f>
        <v>45801</v>
      </c>
      <c r="B22" t="s">
        <v>171</v>
      </c>
      <c r="Z22" s="21"/>
    </row>
    <row r="23" spans="1:26" x14ac:dyDescent="0.25">
      <c r="A23" s="3">
        <f ca="1">DATE(F2,9,8)-WEEKDAY(DATE(F2,9,6))</f>
        <v>45901</v>
      </c>
      <c r="B23" t="s">
        <v>172</v>
      </c>
      <c r="Z23" s="21"/>
    </row>
    <row r="24" spans="1:26" x14ac:dyDescent="0.25">
      <c r="A24" s="3">
        <f ca="1">DATE(F2,10,1)+CHOOSE(WEEKDAY(DATE(F2,10,1)),8,7,6,5,4,3,2)</f>
        <v>45936</v>
      </c>
      <c r="B24" t="s">
        <v>173</v>
      </c>
      <c r="Z24" s="21"/>
    </row>
    <row r="25" spans="1:26" x14ac:dyDescent="0.25">
      <c r="A25" s="3">
        <f ca="1">DATE(F2,9,30)</f>
        <v>45930</v>
      </c>
      <c r="B25" t="s">
        <v>174</v>
      </c>
      <c r="Z25" s="21"/>
    </row>
    <row r="26" spans="1:26" x14ac:dyDescent="0.25">
      <c r="A26" s="3">
        <f ca="1">DATE(F2,11,11)</f>
        <v>45972</v>
      </c>
      <c r="B26" t="s">
        <v>175</v>
      </c>
      <c r="Z26" s="21"/>
    </row>
    <row r="27" spans="1:26" x14ac:dyDescent="0.25">
      <c r="A27" s="3">
        <f ca="1">DATE(F2,8,8)-WEEKDAY(DATE(F2,8,6))</f>
        <v>45873</v>
      </c>
      <c r="B27" t="s">
        <v>176</v>
      </c>
      <c r="Z27" s="21"/>
    </row>
    <row r="28" spans="1:26" x14ac:dyDescent="0.25">
      <c r="A28" s="3">
        <f ca="1">DATE(F3,1,1)</f>
        <v>46023</v>
      </c>
      <c r="B28" t="s">
        <v>163</v>
      </c>
      <c r="Z28" s="21">
        <f ca="1">YEAR(TODAY())+ROW(A14)+8</f>
        <v>2047</v>
      </c>
    </row>
    <row r="29" spans="1:26" x14ac:dyDescent="0.25">
      <c r="A29" s="3">
        <f ca="1">DATE(F3,7,1)</f>
        <v>46204</v>
      </c>
      <c r="B29" t="s">
        <v>165</v>
      </c>
      <c r="Z29" s="21">
        <f ca="1">YEAR(TODAY())+ROW(A14)+9</f>
        <v>2048</v>
      </c>
    </row>
    <row r="30" spans="1:26" x14ac:dyDescent="0.25">
      <c r="A30" s="3">
        <f ca="1">DATE(F3,12,25)</f>
        <v>46381</v>
      </c>
      <c r="B30" t="s">
        <v>166</v>
      </c>
      <c r="Z30" s="21">
        <f ca="1">YEAR(TODAY())+ROW(A14)+10</f>
        <v>2049</v>
      </c>
    </row>
    <row r="31" spans="1:26" x14ac:dyDescent="0.25">
      <c r="A31" s="3">
        <f ca="1">DATE(F3,12,26)</f>
        <v>46382</v>
      </c>
      <c r="B31" t="s">
        <v>167</v>
      </c>
      <c r="Z31" s="21">
        <f ca="1">YEAR(TODAY())+ROW(A14)+11</f>
        <v>2050</v>
      </c>
    </row>
    <row r="32" spans="1:26" x14ac:dyDescent="0.25">
      <c r="A32" s="3">
        <f ca="1">A33-2</f>
        <v>46115</v>
      </c>
      <c r="B32" t="s">
        <v>168</v>
      </c>
      <c r="Z32" s="21">
        <f ca="1">YEAR(TODAY())+ROW(A14)+12</f>
        <v>2051</v>
      </c>
    </row>
    <row r="33" spans="1:2" x14ac:dyDescent="0.25">
      <c r="A33" s="3">
        <f ca="1">ROUND(DATE(F3,4,MOD(234-11*MOD(F3,19),30))/7,0)*7-6</f>
        <v>46117</v>
      </c>
      <c r="B33" t="s">
        <v>169</v>
      </c>
    </row>
    <row r="34" spans="1:2" x14ac:dyDescent="0.25">
      <c r="A34" s="3">
        <f ca="1">A33+1</f>
        <v>46118</v>
      </c>
      <c r="B34" t="s">
        <v>170</v>
      </c>
    </row>
    <row r="35" spans="1:2" x14ac:dyDescent="0.25">
      <c r="A35" s="3">
        <f ca="1">DATE(F3,5,25)-WEEKDAY(DATE(F3,5,25))</f>
        <v>46165</v>
      </c>
      <c r="B35" t="s">
        <v>171</v>
      </c>
    </row>
    <row r="36" spans="1:2" x14ac:dyDescent="0.25">
      <c r="A36" s="3">
        <f ca="1">DATE(F3,9,8)-WEEKDAY(DATE(F3,9,6))</f>
        <v>46272</v>
      </c>
      <c r="B36" t="s">
        <v>172</v>
      </c>
    </row>
    <row r="37" spans="1:2" x14ac:dyDescent="0.25">
      <c r="A37" s="3">
        <f ca="1">DATE(F3,10,1)+CHOOSE(WEEKDAY(DATE(F3,10,1)),8,7,6,5,4,3,2)</f>
        <v>46300</v>
      </c>
      <c r="B37" t="s">
        <v>173</v>
      </c>
    </row>
    <row r="38" spans="1:2" x14ac:dyDescent="0.25">
      <c r="A38" s="3">
        <f ca="1">DATE(F3,9,30)</f>
        <v>46295</v>
      </c>
      <c r="B38" t="s">
        <v>174</v>
      </c>
    </row>
    <row r="39" spans="1:2" x14ac:dyDescent="0.25">
      <c r="A39" s="3">
        <f ca="1">DATE(F3,11,11)</f>
        <v>46337</v>
      </c>
      <c r="B39" t="s">
        <v>175</v>
      </c>
    </row>
    <row r="40" spans="1:2" x14ac:dyDescent="0.25">
      <c r="A40" s="3">
        <f ca="1">DATE(F3,8,8)-WEEKDAY(DATE(F3,8,6))</f>
        <v>46237</v>
      </c>
      <c r="B40" t="s">
        <v>176</v>
      </c>
    </row>
  </sheetData>
  <sheetProtection sheet="1" objects="1" scenarios="1"/>
  <dataValidations count="1">
    <dataValidation type="list" allowBlank="1" showInputMessage="1" showErrorMessage="1" sqref="F2" xr:uid="{B1A85BA9-7B16-467E-8DB8-733A40C13D77}">
      <formula1>$Z$2:$Z$19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75573A-8B18-42AF-9FB3-FCBB36CE7D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StartPage</vt:lpstr>
      <vt:lpstr>InsertDrmis</vt:lpstr>
      <vt:lpstr>InsertOracle</vt:lpstr>
      <vt:lpstr>Combined</vt:lpstr>
      <vt:lpstr>CatsEdits2</vt:lpstr>
      <vt:lpstr>Oracle</vt:lpstr>
      <vt:lpstr>Drmis</vt:lpstr>
      <vt:lpstr>Holidays</vt:lpstr>
      <vt:lpstr>PersNo</vt:lpstr>
      <vt:lpstr>YearList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Randell</dc:creator>
  <cp:keywords/>
  <dc:description/>
  <cp:lastModifiedBy>Dave McConnell</cp:lastModifiedBy>
  <cp:revision/>
  <dcterms:created xsi:type="dcterms:W3CDTF">2025-11-11T11:53:05Z</dcterms:created>
  <dcterms:modified xsi:type="dcterms:W3CDTF">2025-11-30T18:47:45Z</dcterms:modified>
  <cp:category/>
  <cp:contentStatus/>
</cp:coreProperties>
</file>